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tudent information" sheetId="1" r:id="rId5"/>
    <sheet state="visible" name="Notes" sheetId="2" r:id="rId6"/>
    <sheet state="visible" name="Task 1" sheetId="3" r:id="rId7"/>
    <sheet state="visible" name="Task 2" sheetId="4" r:id="rId8"/>
    <sheet state="visible" name="Report" sheetId="5" r:id="rId9"/>
  </sheets>
  <definedNames>
    <definedName name="The_frictional_block_on_the_drawing_paper_with_a_rough_surface__such_that_the_side_wood_face_surface_touches_the_sheet">#REF!</definedName>
  </definedNames>
  <calcPr/>
  <extLst>
    <ext uri="GoogleSheetsCustomDataVersion2">
      <go:sheetsCustomData xmlns:go="http://customooxmlschemas.google.com/" r:id="rId10" roundtripDataChecksum="qVaOipP3vQSljn0c4txYmElAinq61ch3icCZ8FMe/uM="/>
    </ext>
  </extLst>
</workbook>
</file>

<file path=xl/sharedStrings.xml><?xml version="1.0" encoding="utf-8"?>
<sst xmlns="http://schemas.openxmlformats.org/spreadsheetml/2006/main" count="190" uniqueCount="154">
  <si>
    <t>Classical Mechanics</t>
  </si>
  <si>
    <t>Exp 7</t>
  </si>
  <si>
    <t>Moment of Inertia</t>
  </si>
  <si>
    <t>Student(s) Information</t>
  </si>
  <si>
    <t>Student #1</t>
  </si>
  <si>
    <t>Student #2</t>
  </si>
  <si>
    <t>Student #3</t>
  </si>
  <si>
    <t>Student #4</t>
  </si>
  <si>
    <t>Student #5</t>
  </si>
  <si>
    <t>Name</t>
  </si>
  <si>
    <t>Faculty ID</t>
  </si>
  <si>
    <t>Section</t>
  </si>
  <si>
    <t>E-mail address</t>
  </si>
  <si>
    <t>Date</t>
  </si>
  <si>
    <t>Instructor name</t>
  </si>
  <si>
    <t>Attended section</t>
  </si>
  <si>
    <t>TA Name</t>
  </si>
  <si>
    <t>TA Email</t>
  </si>
  <si>
    <t>Dr. Sameh Mahmoud</t>
  </si>
  <si>
    <t>NurEldin Hassan</t>
  </si>
  <si>
    <t>nurhassan@zewailcity.edu.eg</t>
  </si>
  <si>
    <t>Area zone</t>
  </si>
  <si>
    <t>Dr. Ahmed Aly</t>
  </si>
  <si>
    <t>Mansour Hassan</t>
  </si>
  <si>
    <t>mahassan@zewailcity.edu.eg</t>
  </si>
  <si>
    <t>Labtop No</t>
  </si>
  <si>
    <t>Dr. Amr Mohamed</t>
  </si>
  <si>
    <t>Dalia Mohamed</t>
  </si>
  <si>
    <t>dmohamed@zewailcity.edu.eg</t>
  </si>
  <si>
    <t>Dr. Hisham Anwer</t>
  </si>
  <si>
    <t>Nora Abdullah</t>
  </si>
  <si>
    <t>nabdullah@zewailcity.edu.eg</t>
  </si>
  <si>
    <t>File name and
Email subject #1</t>
  </si>
  <si>
    <t>Riham Ibrahim</t>
  </si>
  <si>
    <t>rtaha@zewailcity.edu.eg</t>
  </si>
  <si>
    <t>Omar Mesh'al</t>
  </si>
  <si>
    <t>omashal@zewailcity.edu.eg</t>
  </si>
  <si>
    <t>File name and
Email subject #2</t>
  </si>
  <si>
    <t>Ali Ahmed</t>
  </si>
  <si>
    <t>alahmed@zewailcity.edu.eg</t>
  </si>
  <si>
    <t>Alia Dawood</t>
  </si>
  <si>
    <t>s-aliadawood@zewailcity.edu.eg</t>
  </si>
  <si>
    <t>File name and
Email subject #3</t>
  </si>
  <si>
    <t>Reem Ahmed</t>
  </si>
  <si>
    <t>rhmohamed@zewailcity.edu.eg</t>
  </si>
  <si>
    <t>Noha Shokry</t>
  </si>
  <si>
    <t>naboqara@zewailcity.edu.eg</t>
  </si>
  <si>
    <t>File name and
Email subject #4</t>
  </si>
  <si>
    <t>Mohamed Ibrahim</t>
  </si>
  <si>
    <t>mkadah@zewailcity.edu.eg</t>
  </si>
  <si>
    <t>Mohamed Helal</t>
  </si>
  <si>
    <t>mohelal@zewailcity.edu.eg</t>
  </si>
  <si>
    <t>File name and
Email subject #5</t>
  </si>
  <si>
    <t>Samar Elsafy</t>
  </si>
  <si>
    <t>selsafy@zewailcity.edu.eg</t>
  </si>
  <si>
    <t>Moamen Saleh</t>
  </si>
  <si>
    <t>mshassan@zewailcity.edu.eg</t>
  </si>
  <si>
    <t>Mohamed Atef</t>
  </si>
  <si>
    <t>mdeyab@zewailcity.edu.eg</t>
  </si>
  <si>
    <t>Please read the "Notes" sheet carefully before filling your report and before submitting it.</t>
  </si>
  <si>
    <t>Eng. Ahmed Parsi</t>
  </si>
  <si>
    <t>aparsi@zewailcity.edu.eg</t>
  </si>
  <si>
    <t>Eng. Amina Mohamed</t>
  </si>
  <si>
    <t>aabdelsayed@zewailcity.edu.eg</t>
  </si>
  <si>
    <t>Notes to the instructor *</t>
  </si>
  <si>
    <t>* Any note concering your report you wish to point out to the instructor should be written in the "Notes to the instructor" cells.</t>
  </si>
  <si>
    <t>Notes :</t>
  </si>
  <si>
    <t>The experiment procedures should be carefully read from the lab manual before the lab session.</t>
  </si>
  <si>
    <t>Lab reports should be submitted on time to avoid any grades decductions.</t>
  </si>
  <si>
    <t>Each student should bring his/her laptop and work on his/her data,graphs and calculations in person not in groups.</t>
  </si>
  <si>
    <t>All your calculations and equations used to compute any value should be clearly stated.</t>
  </si>
  <si>
    <t>All equations should be written using the equation design. (Insert -&gt; Equation)</t>
  </si>
  <si>
    <t>All calculated quantities should be expressed with their correct units.</t>
  </si>
  <si>
    <t>The lab report should be readable, well organized and formated.</t>
  </si>
  <si>
    <t>Any note concering your report you wish to point out to the instructor should be written in the "Notes to the instructor" cells.</t>
  </si>
  <si>
    <t>Each graph should contain the following :</t>
  </si>
  <si>
    <t>A scatter plot with all your data points.</t>
  </si>
  <si>
    <t>A descriptive chart title.</t>
  </si>
  <si>
    <t>Axis titles (Physical quantity and its unit).</t>
  </si>
  <si>
    <t>A suitable scale for each of the axis (0.000 or E+10 slopes are not accepted because they are massively rounded).</t>
  </si>
  <si>
    <t>A legend in case of multiple plots on the same graph.</t>
  </si>
  <si>
    <t>A suitable intercept of the trendline (if any).</t>
  </si>
  <si>
    <t>An equation for the trendline on graph (if any).</t>
  </si>
  <si>
    <t>Error bars representing the uncertainty in each reading</t>
  </si>
  <si>
    <t>Task 1</t>
  </si>
  <si>
    <t>Determination of the moment of inertia of a bar with constant mass mounted to it at different distances from the axis of rotation.</t>
  </si>
  <si>
    <r>
      <rPr>
        <rFont val="Times New Roman"/>
        <b/>
        <color theme="1"/>
        <sz val="14.0"/>
      </rPr>
      <t xml:space="preserve">Hanging weight holder total mass </t>
    </r>
    <r>
      <rPr>
        <rFont val="Times New Roman"/>
        <i/>
        <color theme="1"/>
        <sz val="14.0"/>
      </rPr>
      <t>m</t>
    </r>
    <r>
      <rPr>
        <rFont val="Times New Roman"/>
        <i/>
        <color theme="1"/>
        <sz val="14.0"/>
        <vertAlign val="subscript"/>
      </rPr>
      <t>h</t>
    </r>
    <r>
      <rPr>
        <rFont val="Times New Roman"/>
        <b/>
        <color theme="1"/>
        <sz val="14.0"/>
      </rPr>
      <t xml:space="preserve"> </t>
    </r>
    <r>
      <rPr>
        <rFont val="Times New Roman"/>
        <i/>
        <color theme="1"/>
        <sz val="14.0"/>
      </rPr>
      <t xml:space="preserve">(kg) </t>
    </r>
    <r>
      <rPr>
        <rFont val="Times New Roman"/>
        <color theme="1"/>
        <sz val="14.0"/>
      </rPr>
      <t>=</t>
    </r>
  </si>
  <si>
    <r>
      <rPr>
        <rFont val="Times New Roman"/>
        <b/>
        <color theme="1"/>
        <sz val="14.0"/>
      </rPr>
      <t xml:space="preserve">Inertia rod weight holders total masses </t>
    </r>
    <r>
      <rPr>
        <rFont val="Times New Roman"/>
        <b val="0"/>
        <i/>
        <color theme="1"/>
        <sz val="14.0"/>
      </rPr>
      <t>2m (kg)</t>
    </r>
    <r>
      <rPr>
        <rFont val="Times New Roman"/>
        <b val="0"/>
        <color theme="1"/>
        <sz val="14.0"/>
      </rPr>
      <t xml:space="preserve">= </t>
    </r>
  </si>
  <si>
    <r>
      <rPr>
        <rFont val="Times New Roman"/>
        <b/>
        <color theme="1"/>
        <sz val="14.0"/>
      </rPr>
      <t xml:space="preserve">Axle pulley radius </t>
    </r>
    <r>
      <rPr>
        <rFont val="Times New Roman"/>
        <b val="0"/>
        <i/>
        <color theme="1"/>
        <sz val="14.0"/>
      </rPr>
      <t>r</t>
    </r>
    <r>
      <rPr>
        <rFont val="Times New Roman"/>
        <b val="0"/>
        <i/>
        <color theme="1"/>
        <sz val="14.0"/>
        <vertAlign val="subscript"/>
      </rPr>
      <t>p</t>
    </r>
    <r>
      <rPr>
        <rFont val="Times New Roman"/>
        <b/>
        <color theme="1"/>
        <sz val="14.0"/>
        <vertAlign val="subscript"/>
      </rPr>
      <t xml:space="preserve"> </t>
    </r>
    <r>
      <rPr>
        <rFont val="Times New Roman"/>
        <b val="0"/>
        <i/>
        <color theme="1"/>
        <sz val="14.0"/>
      </rPr>
      <t xml:space="preserve">(m) </t>
    </r>
    <r>
      <rPr>
        <rFont val="Times New Roman"/>
        <b/>
        <color theme="1"/>
        <sz val="14.0"/>
      </rPr>
      <t>=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</si>
  <si>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</si>
  <si>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</si>
  <si>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</si>
  <si>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</si>
  <si>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</si>
  <si>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>Inertia rod weight holder position</t>
    </r>
    <r>
      <rPr>
        <rFont val="Times New Roman"/>
        <color theme="1"/>
        <sz val="12.0"/>
      </rPr>
      <t xml:space="preserve"> 
</t>
    </r>
    <r>
      <rPr>
        <rFont val="Times New Roman"/>
        <i/>
        <color theme="1"/>
        <sz val="12.0"/>
      </rPr>
      <t>r</t>
    </r>
    <r>
      <rPr>
        <rFont val="Times New Roman"/>
        <color theme="1"/>
        <sz val="12.0"/>
      </rPr>
      <t>= 0 m
(Same values of Task 2 when m=0)</t>
    </r>
  </si>
  <si>
    <t>Trial 1</t>
  </si>
  <si>
    <r>
      <rPr>
        <rFont val="Times New Roman"/>
        <b/>
        <color theme="1"/>
        <sz val="12.0"/>
      </rPr>
      <t>Inertia rod weight holder position</t>
    </r>
    <r>
      <rPr>
        <rFont val="Times New Roman"/>
        <color theme="1"/>
        <sz val="12.0"/>
      </rPr>
      <t xml:space="preserve"> 
</t>
    </r>
    <r>
      <rPr>
        <rFont val="Times New Roman"/>
        <i/>
        <color theme="1"/>
        <sz val="12.0"/>
      </rPr>
      <t>r</t>
    </r>
    <r>
      <rPr>
        <rFont val="Times New Roman"/>
        <color theme="1"/>
        <sz val="12.0"/>
      </rPr>
      <t>= 0.15 m</t>
    </r>
  </si>
  <si>
    <r>
      <rPr>
        <rFont val="Times New Roman"/>
        <b/>
        <color theme="1"/>
        <sz val="12.0"/>
      </rPr>
      <t>Inertia rod weight holder position</t>
    </r>
    <r>
      <rPr>
        <rFont val="Times New Roman"/>
        <color theme="1"/>
        <sz val="12.0"/>
      </rPr>
      <t xml:space="preserve"> 
</t>
    </r>
    <r>
      <rPr>
        <rFont val="Times New Roman"/>
        <i/>
        <color theme="1"/>
        <sz val="12.0"/>
      </rPr>
      <t>r</t>
    </r>
    <r>
      <rPr>
        <rFont val="Times New Roman"/>
        <color theme="1"/>
        <sz val="12.0"/>
      </rPr>
      <t>= 0.2 m</t>
    </r>
  </si>
  <si>
    <r>
      <rPr>
        <rFont val="Times New Roman"/>
        <b/>
        <color theme="1"/>
        <sz val="12.0"/>
      </rPr>
      <t>Inertia rod weight holder position</t>
    </r>
    <r>
      <rPr>
        <rFont val="Times New Roman"/>
        <color theme="1"/>
        <sz val="12.0"/>
      </rPr>
      <t xml:space="preserve"> 
</t>
    </r>
    <r>
      <rPr>
        <rFont val="Times New Roman"/>
        <i/>
        <color theme="1"/>
        <sz val="12.0"/>
      </rPr>
      <t>r</t>
    </r>
    <r>
      <rPr>
        <rFont val="Times New Roman"/>
        <color theme="1"/>
        <sz val="12.0"/>
      </rPr>
      <t>= 0.25 m</t>
    </r>
  </si>
  <si>
    <r>
      <rPr>
        <rFont val="Times New Roman"/>
        <b/>
        <color theme="1"/>
        <sz val="12.0"/>
      </rPr>
      <t>Inertia rod weight holder position</t>
    </r>
    <r>
      <rPr>
        <rFont val="Times New Roman"/>
        <color theme="1"/>
        <sz val="12.0"/>
      </rPr>
      <t xml:space="preserve"> 
</t>
    </r>
    <r>
      <rPr>
        <rFont val="Times New Roman"/>
        <i/>
        <color theme="1"/>
        <sz val="12.0"/>
      </rPr>
      <t>r</t>
    </r>
    <r>
      <rPr>
        <rFont val="Times New Roman"/>
        <color theme="1"/>
        <sz val="12.0"/>
      </rPr>
      <t>= 0.3 cm</t>
    </r>
  </si>
  <si>
    <t>Trial 2</t>
  </si>
  <si>
    <t>Average value</t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</si>
  <si>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</si>
  <si>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</si>
  <si>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</si>
  <si>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</si>
  <si>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</si>
  <si>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</si>
  <si>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</si>
  <si>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</si>
  <si>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</si>
  <si>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</si>
  <si>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Inertia rod weight holder position 
</t>
    </r>
    <r>
      <rPr>
        <rFont val="Times New Roman"/>
        <b val="0"/>
        <i/>
        <color theme="1"/>
        <sz val="12.0"/>
      </rPr>
      <t>r2 (m2)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</si>
  <si>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2.0"/>
      </rPr>
      <t>I (kg.m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</si>
  <si>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t>Place your graph here</t>
  </si>
  <si>
    <t>Theoritical value of the slope =</t>
  </si>
  <si>
    <t>Measured value of the slope =</t>
  </si>
  <si>
    <t>Task 2</t>
  </si>
  <si>
    <t>Determination of the moment of inertia of a bar with varying masses mounted to it at the same distance from the axis of rotation.</t>
  </si>
  <si>
    <r>
      <rPr>
        <rFont val="Times New Roman"/>
        <b/>
        <color theme="1"/>
        <sz val="14.0"/>
      </rPr>
      <t xml:space="preserve">Hanging weight holder total mass </t>
    </r>
    <r>
      <rPr>
        <rFont val="Times New Roman"/>
        <i/>
        <color theme="1"/>
        <sz val="14.0"/>
      </rPr>
      <t>m</t>
    </r>
    <r>
      <rPr>
        <rFont val="Times New Roman"/>
        <i/>
        <color theme="1"/>
        <sz val="14.0"/>
        <vertAlign val="subscript"/>
      </rPr>
      <t>h</t>
    </r>
    <r>
      <rPr>
        <rFont val="Times New Roman"/>
        <b/>
        <color theme="1"/>
        <sz val="14.0"/>
      </rPr>
      <t xml:space="preserve"> </t>
    </r>
    <r>
      <rPr>
        <rFont val="Times New Roman"/>
        <i/>
        <color theme="1"/>
        <sz val="14.0"/>
      </rPr>
      <t xml:space="preserve">(kg) </t>
    </r>
    <r>
      <rPr>
        <rFont val="Times New Roman"/>
        <color theme="1"/>
        <sz val="14.0"/>
      </rPr>
      <t>=</t>
    </r>
  </si>
  <si>
    <r>
      <rPr>
        <rFont val="Times New Roman"/>
        <b/>
        <color theme="1"/>
        <sz val="14.0"/>
      </rPr>
      <t xml:space="preserve">Inertia rod weight holders position </t>
    </r>
    <r>
      <rPr>
        <rFont val="Times New Roman"/>
        <b val="0"/>
        <i/>
        <color theme="1"/>
        <sz val="14.0"/>
      </rPr>
      <t>r (m)</t>
    </r>
    <r>
      <rPr>
        <rFont val="Times New Roman"/>
        <b val="0"/>
        <color theme="1"/>
        <sz val="14.0"/>
      </rPr>
      <t xml:space="preserve"> = </t>
    </r>
  </si>
  <si>
    <r>
      <rPr>
        <rFont val="Times New Roman"/>
        <b/>
        <color theme="1"/>
        <sz val="14.0"/>
      </rPr>
      <t xml:space="preserve">Axle pulley radius </t>
    </r>
    <r>
      <rPr>
        <rFont val="Times New Roman"/>
        <b val="0"/>
        <i/>
        <color theme="1"/>
        <sz val="14.0"/>
      </rPr>
      <t>r</t>
    </r>
    <r>
      <rPr>
        <rFont val="Times New Roman"/>
        <b val="0"/>
        <i/>
        <color theme="1"/>
        <sz val="14.0"/>
        <vertAlign val="subscript"/>
      </rPr>
      <t xml:space="preserve">p </t>
    </r>
    <r>
      <rPr>
        <rFont val="Times New Roman"/>
        <b/>
        <color theme="1"/>
        <sz val="14.0"/>
        <vertAlign val="subscript"/>
      </rPr>
      <t xml:space="preserve"> </t>
    </r>
    <r>
      <rPr>
        <rFont val="Times New Roman"/>
        <b val="0"/>
        <i/>
        <color theme="1"/>
        <sz val="14.0"/>
      </rPr>
      <t xml:space="preserve">(m) </t>
    </r>
    <r>
      <rPr>
        <rFont val="Times New Roman"/>
        <b/>
        <color theme="1"/>
        <sz val="14.0"/>
      </rPr>
      <t>=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</si>
  <si>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</si>
  <si>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</si>
  <si>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</si>
  <si>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</si>
  <si>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</si>
  <si>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(deg/s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</si>
  <si>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>Inertia rod weight holder (single weight holder)  total mass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 xml:space="preserve">= 0 kg
(Same values of Task 1 when </t>
    </r>
    <r>
      <rPr>
        <rFont val="Times New Roman"/>
        <i/>
        <color theme="1"/>
        <sz val="12.0"/>
      </rPr>
      <t>r=0</t>
    </r>
    <r>
      <rPr>
        <rFont val="Times New Roman"/>
        <color theme="1"/>
        <sz val="12.0"/>
      </rPr>
      <t>)</t>
    </r>
  </si>
  <si>
    <r>
      <rPr>
        <rFont val="Times New Roman"/>
        <b/>
        <color theme="1"/>
        <sz val="12.0"/>
      </rPr>
      <t>Inertia rod weight holder (single weight holder) total mass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>= 0.06 kg</t>
    </r>
  </si>
  <si>
    <r>
      <rPr>
        <rFont val="Times New Roman"/>
        <b/>
        <color theme="1"/>
        <sz val="12.0"/>
      </rPr>
      <t>Inertia rod weight holder (single weight holder) total mass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>= 0.07 kg</t>
    </r>
  </si>
  <si>
    <r>
      <rPr>
        <rFont val="Times New Roman"/>
        <b/>
        <color theme="1"/>
        <sz val="12.0"/>
      </rPr>
      <t>Inertia rod weight holder (single weight holder) total mass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>= 0.08 kg</t>
    </r>
  </si>
  <si>
    <r>
      <rPr>
        <rFont val="Times New Roman"/>
        <b/>
        <color theme="1"/>
        <sz val="12.0"/>
      </rPr>
      <t>Inertia rod weight holder (single weight holder) total mass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>= 0.09 kg</t>
    </r>
  </si>
  <si>
    <r>
      <rPr>
        <rFont val="Times New Roman"/>
        <b/>
        <color theme="1"/>
        <sz val="12.0"/>
      </rPr>
      <t>Inertia rod weight holder (single weight holder) total mass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>= 0.1 kg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</si>
  <si>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</si>
  <si>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</si>
  <si>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</si>
  <si>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</si>
  <si>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</si>
  <si>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</si>
  <si>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</si>
  <si>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</si>
  <si>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</si>
  <si>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</si>
  <si>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Angular acceleration
</t>
    </r>
    <r>
      <rPr>
        <rFont val="Symbol"/>
        <b val="0"/>
        <i/>
        <color theme="1"/>
        <sz val="14.0"/>
      </rPr>
      <t>a</t>
    </r>
    <r>
      <rPr>
        <rFont val="Times New Roman"/>
        <b val="0"/>
        <i/>
        <color theme="1"/>
        <sz val="14.0"/>
      </rPr>
      <t xml:space="preserve"> (rad/s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</si>
  <si>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4.0"/>
      </rPr>
      <t>I 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</si>
  <si>
    <r>
      <rPr>
        <rFont val="Times New Roman"/>
        <b/>
        <color theme="1"/>
        <sz val="12.0"/>
      </rPr>
      <t xml:space="preserve">Inertia rod weight holders total mass </t>
    </r>
    <r>
      <rPr>
        <rFont val="Times New Roman"/>
        <b val="0"/>
        <i/>
        <color theme="1"/>
        <sz val="12.0"/>
      </rPr>
      <t>2m (kg)</t>
    </r>
  </si>
  <si>
    <r>
      <rPr>
        <rFont val="Times New Roman"/>
        <b/>
        <color theme="1"/>
        <sz val="12.0"/>
      </rPr>
      <t xml:space="preserve">Moment of Inertia 
</t>
    </r>
    <r>
      <rPr>
        <rFont val="Times New Roman"/>
        <i/>
        <color theme="1"/>
        <sz val="12.0"/>
      </rPr>
      <t>I (kg.m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</si>
  <si>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t>Report</t>
  </si>
  <si>
    <t>1) What are the objectives of this experiment?</t>
  </si>
  <si>
    <t>Report (2/10) =</t>
  </si>
  <si>
    <t>2) What are the theoritical principles introduced to buit the setup of the experiment?</t>
  </si>
  <si>
    <t>3) What are the precautions required to properly conduct the experiment?</t>
  </si>
  <si>
    <t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</si>
</sst>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2">
    <font>
      <sz val="11.0"/>
      <color theme="1"/>
      <name val="Calibri"/>
      <scheme val="minor"/>
    </font>
    <font>
      <b/>
      <sz val="16.0"/>
      <color theme="1"/>
      <name val="Times New Roman"/>
    </font>
    <font/>
    <font>
      <sz val="11.0"/>
      <color theme="1"/>
      <name val="Calibri"/>
    </font>
    <font>
      <b/>
      <sz val="14.0"/>
      <color theme="1"/>
      <name val="Times New Roman"/>
    </font>
    <font>
      <sz val="12.0"/>
      <color theme="1"/>
      <name val="Calibri"/>
    </font>
    <font>
      <sz val="12.0"/>
      <color theme="1"/>
      <name val="Times New Roman"/>
    </font>
    <font>
      <u/>
      <sz val="11.0"/>
      <color theme="10"/>
      <name val="Calibri"/>
    </font>
    <font>
      <b/>
      <u/>
      <sz val="14.0"/>
      <color theme="10"/>
      <name val="Times New Roman"/>
    </font>
    <font>
      <sz val="11.0"/>
      <color rgb="FF222222"/>
      <name val="Roboto"/>
    </font>
    <font>
      <sz val="16.0"/>
      <color theme="1"/>
      <name val="Times New Roman"/>
    </font>
    <font>
      <u/>
      <sz val="11.0"/>
      <color theme="10"/>
      <name val="Calibri"/>
    </font>
    <font>
      <sz val="11.0"/>
      <color rgb="FFFF0000"/>
      <name val="Calibri"/>
    </font>
    <font>
      <b/>
      <sz val="11.0"/>
      <color theme="1"/>
      <name val="Calibri"/>
    </font>
    <font>
      <b/>
      <sz val="14.0"/>
      <color theme="1"/>
      <name val="Calibri"/>
    </font>
    <font>
      <b/>
      <sz val="24.0"/>
      <color theme="1"/>
      <name val="Calibri"/>
    </font>
    <font>
      <b/>
      <sz val="18.0"/>
      <color theme="1"/>
      <name val="Calibri"/>
    </font>
    <font>
      <sz val="14.0"/>
      <color theme="1"/>
      <name val="Times New Roman"/>
    </font>
    <font>
      <b/>
      <sz val="12.0"/>
      <color theme="1"/>
      <name val="Times New Roman"/>
    </font>
    <font>
      <b/>
      <sz val="10.0"/>
      <color theme="1"/>
      <name val="Times New Roman"/>
    </font>
    <font>
      <sz val="10.0"/>
      <color theme="1"/>
      <name val="Times New Roman"/>
    </font>
    <font>
      <sz val="11.0"/>
      <color theme="1"/>
      <name val="Arial"/>
    </font>
  </fonts>
  <fills count="2">
    <fill>
      <patternFill patternType="none"/>
    </fill>
    <fill>
      <patternFill patternType="lightGray"/>
    </fill>
  </fills>
  <borders count="19">
    <border/>
    <border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79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0" fontId="2" numFmtId="0" xfId="0" applyBorder="1" applyFont="1"/>
    <xf borderId="0" fillId="0" fontId="3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4" numFmtId="0" xfId="0" applyAlignment="1" applyBorder="1" applyFont="1">
      <alignment horizontal="center" vertical="center"/>
    </xf>
    <xf borderId="4" fillId="0" fontId="4" numFmtId="0" xfId="0" applyAlignment="1" applyBorder="1" applyFont="1">
      <alignment horizontal="center" vertical="center"/>
    </xf>
    <xf borderId="5" fillId="0" fontId="2" numFmtId="0" xfId="0" applyBorder="1" applyFont="1"/>
    <xf borderId="4" fillId="0" fontId="5" numFmtId="0" xfId="0" applyAlignment="1" applyBorder="1" applyFont="1">
      <alignment horizontal="center" vertical="center"/>
    </xf>
    <xf borderId="4" fillId="0" fontId="6" numFmtId="0" xfId="0" applyAlignment="1" applyBorder="1" applyFont="1">
      <alignment horizontal="center"/>
    </xf>
    <xf borderId="4" fillId="0" fontId="7" numFmtId="0" xfId="0" applyAlignment="1" applyBorder="1" applyFont="1">
      <alignment horizontal="center" vertical="center"/>
    </xf>
    <xf borderId="4" fillId="0" fontId="5" numFmtId="14" xfId="0" applyAlignment="1" applyBorder="1" applyFont="1" applyNumberForma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3" numFmtId="0" xfId="0" applyAlignment="1" applyFont="1">
      <alignment shrinkToFit="0" wrapText="1"/>
    </xf>
    <xf borderId="0" fillId="0" fontId="4" numFmtId="0" xfId="0" applyFont="1"/>
    <xf borderId="0" fillId="0" fontId="8" numFmtId="0" xfId="0" applyFont="1"/>
    <xf borderId="0" fillId="0" fontId="6" numFmtId="0" xfId="0" applyAlignment="1" applyFont="1">
      <alignment horizontal="left"/>
    </xf>
    <xf borderId="0" fillId="0" fontId="5" numFmtId="0" xfId="0" applyAlignment="1" applyFont="1">
      <alignment horizontal="left"/>
    </xf>
    <xf borderId="0" fillId="0" fontId="9" numFmtId="0" xfId="0" applyFont="1"/>
    <xf borderId="6" fillId="0" fontId="6" numFmtId="0" xfId="0" applyAlignment="1" applyBorder="1" applyFont="1">
      <alignment horizontal="center" shrinkToFit="0" vertical="center" wrapText="1"/>
    </xf>
    <xf borderId="7" fillId="0" fontId="2" numFmtId="0" xfId="0" applyBorder="1" applyFont="1"/>
    <xf borderId="8" fillId="0" fontId="2" numFmtId="0" xfId="0" applyBorder="1" applyFont="1"/>
    <xf borderId="6" fillId="0" fontId="5" numFmtId="0" xfId="0" applyAlignment="1" applyBorder="1" applyFont="1">
      <alignment horizontal="center" vertical="center"/>
    </xf>
    <xf borderId="3" fillId="0" fontId="2" numFmtId="0" xfId="0" applyBorder="1" applyFont="1"/>
    <xf borderId="9" fillId="0" fontId="2" numFmtId="0" xfId="0" applyBorder="1" applyFont="1"/>
    <xf borderId="0" fillId="0" fontId="10" numFmtId="0" xfId="0" applyFont="1"/>
    <xf borderId="6" fillId="0" fontId="6" numFmtId="0" xfId="0" applyAlignment="1" applyBorder="1" applyFont="1">
      <alignment horizontal="center" shrinkToFit="0" wrapText="1"/>
    </xf>
    <xf borderId="0" fillId="0" fontId="11" numFmtId="0" xfId="0" applyFont="1"/>
    <xf borderId="0" fillId="0" fontId="12" numFmtId="0" xfId="0" applyAlignment="1" applyFont="1">
      <alignment horizontal="center"/>
    </xf>
    <xf borderId="4" fillId="0" fontId="13" numFmtId="0" xfId="0" applyAlignment="1" applyBorder="1" applyFont="1">
      <alignment horizontal="left"/>
    </xf>
    <xf borderId="10" fillId="0" fontId="3" numFmtId="0" xfId="0" applyAlignment="1" applyBorder="1" applyFont="1">
      <alignment horizontal="left"/>
    </xf>
    <xf borderId="11" fillId="0" fontId="2" numFmtId="0" xfId="0" applyBorder="1" applyFont="1"/>
    <xf borderId="3" fillId="0" fontId="3" numFmtId="0" xfId="0" applyAlignment="1" applyBorder="1" applyFont="1">
      <alignment horizontal="left"/>
    </xf>
    <xf borderId="0" fillId="0" fontId="3" numFmtId="0" xfId="0" applyFont="1"/>
    <xf borderId="0" fillId="0" fontId="14" numFmtId="0" xfId="0" applyAlignment="1" applyFont="1">
      <alignment horizontal="left"/>
    </xf>
    <xf borderId="0" fillId="0" fontId="3" numFmtId="0" xfId="0" applyAlignment="1" applyFont="1">
      <alignment horizontal="left"/>
    </xf>
    <xf borderId="1" fillId="0" fontId="15" numFmtId="0" xfId="0" applyAlignment="1" applyBorder="1" applyFont="1">
      <alignment horizontal="center" vertical="center"/>
    </xf>
    <xf borderId="1" fillId="0" fontId="3" numFmtId="0" xfId="0" applyAlignment="1" applyBorder="1" applyFont="1">
      <alignment horizontal="center" vertical="center"/>
    </xf>
    <xf borderId="2" fillId="0" fontId="16" numFmtId="0" xfId="0" applyAlignment="1" applyBorder="1" applyFont="1">
      <alignment horizontal="center" shrinkToFit="0" vertical="center" wrapText="1"/>
    </xf>
    <xf borderId="2" fillId="0" fontId="16" numFmtId="0" xfId="0" applyAlignment="1" applyBorder="1" applyFont="1">
      <alignment horizontal="center" vertical="center"/>
    </xf>
    <xf borderId="2" fillId="0" fontId="15" numFmtId="0" xfId="0" applyAlignment="1" applyBorder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5" numFmtId="0" xfId="0" applyAlignment="1" applyFont="1">
      <alignment horizontal="center" vertical="center"/>
    </xf>
    <xf borderId="4" fillId="0" fontId="17" numFmtId="0" xfId="0" applyAlignment="1" applyBorder="1" applyFont="1">
      <alignment horizontal="right" vertical="center"/>
    </xf>
    <xf borderId="12" fillId="0" fontId="17" numFmtId="0" xfId="0" applyAlignment="1" applyBorder="1" applyFont="1">
      <alignment horizontal="center" vertical="center"/>
    </xf>
    <xf borderId="0" fillId="0" fontId="17" numFmtId="0" xfId="0" applyAlignment="1" applyFont="1">
      <alignment horizontal="center" vertical="center"/>
    </xf>
    <xf borderId="4" fillId="0" fontId="4" numFmtId="0" xfId="0" applyAlignment="1" applyBorder="1" applyFont="1">
      <alignment horizontal="right" shrinkToFit="0" vertical="center" wrapText="1"/>
    </xf>
    <xf borderId="12" fillId="0" fontId="17" numFmtId="0" xfId="0" applyAlignment="1" applyBorder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4" fillId="0" fontId="4" numFmtId="0" xfId="0" applyAlignment="1" applyBorder="1" applyFont="1">
      <alignment horizontal="right" vertical="center"/>
    </xf>
    <xf borderId="0" fillId="0" fontId="4" numFmtId="0" xfId="0" applyAlignment="1" applyFont="1">
      <alignment vertical="center"/>
    </xf>
    <xf borderId="12" fillId="0" fontId="18" numFmtId="0" xfId="0" applyAlignment="1" applyBorder="1" applyFont="1">
      <alignment horizontal="center" shrinkToFit="0" vertical="center" wrapText="1"/>
    </xf>
    <xf borderId="0" fillId="0" fontId="18" numFmtId="0" xfId="0" applyAlignment="1" applyFont="1">
      <alignment horizontal="center" shrinkToFit="0" vertical="center" wrapText="1"/>
    </xf>
    <xf borderId="13" fillId="0" fontId="6" numFmtId="0" xfId="0" applyAlignment="1" applyBorder="1" applyFont="1">
      <alignment horizontal="center" shrinkToFit="0" vertical="center" wrapText="1"/>
    </xf>
    <xf borderId="12" fillId="0" fontId="6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vertical="center" wrapText="1"/>
    </xf>
    <xf borderId="0" fillId="0" fontId="19" numFmtId="0" xfId="0" applyAlignment="1" applyFont="1">
      <alignment horizontal="center" shrinkToFit="0" vertical="center" wrapText="1"/>
    </xf>
    <xf borderId="14" fillId="0" fontId="2" numFmtId="0" xfId="0" applyBorder="1" applyFont="1"/>
    <xf borderId="15" fillId="0" fontId="2" numFmtId="0" xfId="0" applyBorder="1" applyFont="1"/>
    <xf borderId="4" fillId="0" fontId="3" numFmtId="0" xfId="0" applyAlignment="1" applyBorder="1" applyFont="1">
      <alignment horizontal="center" vertical="center"/>
    </xf>
    <xf borderId="12" fillId="0" fontId="6" numFmtId="0" xfId="0" applyAlignment="1" applyBorder="1" applyFont="1">
      <alignment horizontal="center" shrinkToFit="0" vertical="center" wrapText="1"/>
    </xf>
    <xf borderId="7" fillId="0" fontId="6" numFmtId="0" xfId="0" applyAlignment="1" applyBorder="1" applyFont="1">
      <alignment horizontal="center" shrinkToFit="0" vertical="center" wrapText="1"/>
    </xf>
    <xf borderId="1" fillId="0" fontId="3" numFmtId="0" xfId="0" applyAlignment="1" applyBorder="1" applyFont="1">
      <alignment vertical="center"/>
    </xf>
    <xf borderId="12" fillId="0" fontId="18" numFmtId="0" xfId="0" applyAlignment="1" applyBorder="1" applyFont="1">
      <alignment horizontal="center" readingOrder="0" shrinkToFit="0" vertical="center" wrapText="1"/>
    </xf>
    <xf borderId="15" fillId="0" fontId="6" numFmtId="0" xfId="0" applyAlignment="1" applyBorder="1" applyFont="1">
      <alignment horizontal="center" shrinkToFit="0" vertical="center" wrapText="1"/>
    </xf>
    <xf borderId="6" fillId="0" fontId="3" numFmtId="0" xfId="0" applyAlignment="1" applyBorder="1" applyFont="1">
      <alignment horizontal="center" vertical="center"/>
    </xf>
    <xf borderId="10" fillId="0" fontId="2" numFmtId="0" xfId="0" applyBorder="1" applyFont="1"/>
    <xf borderId="12" fillId="0" fontId="3" numFmtId="0" xfId="0" applyAlignment="1" applyBorder="1" applyFont="1">
      <alignment horizontal="center" vertical="center"/>
    </xf>
    <xf borderId="0" fillId="0" fontId="20" numFmtId="0" xfId="0" applyAlignment="1" applyFont="1">
      <alignment horizontal="center" shrinkToFit="0" vertical="center" wrapText="1"/>
    </xf>
    <xf borderId="1" fillId="0" fontId="17" numFmtId="0" xfId="0" applyAlignment="1" applyBorder="1" applyFont="1">
      <alignment horizontal="center" vertical="center"/>
    </xf>
    <xf borderId="1" fillId="0" fontId="21" numFmtId="0" xfId="0" applyBorder="1" applyFont="1"/>
    <xf borderId="0" fillId="0" fontId="17" numFmtId="0" xfId="0" applyFont="1"/>
    <xf borderId="16" fillId="0" fontId="18" numFmtId="0" xfId="0" applyAlignment="1" applyBorder="1" applyFont="1">
      <alignment horizontal="center"/>
    </xf>
    <xf borderId="17" fillId="0" fontId="2" numFmtId="0" xfId="0" applyBorder="1" applyFont="1"/>
    <xf borderId="18" fillId="0" fontId="17" numFmtId="0" xfId="0" applyBorder="1" applyFont="1"/>
    <xf borderId="0" fillId="0" fontId="6" numFmtId="0" xfId="0" applyAlignment="1" applyFont="1">
      <alignment horizontal="center" shrinkToFit="0" vertical="top" wrapText="1"/>
    </xf>
    <xf borderId="0" fillId="0" fontId="6" numFmtId="0" xfId="0" applyAlignment="1" applyFont="1">
      <alignment shrinkToFit="0" vertical="top" wrapText="1"/>
    </xf>
    <xf borderId="0" fillId="0" fontId="6" numFmtId="0" xfId="0" applyAlignment="1" applyFont="1">
      <alignment horizontal="center" vertical="top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0" Type="http://customschemas.google.com/relationships/workbookmetadata" Target="metadata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0</xdr:row>
      <xdr:rowOff>0</xdr:rowOff>
    </xdr:from>
    <xdr:ext cx="1152525" cy="1238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1" Type="http://schemas.openxmlformats.org/officeDocument/2006/relationships/hyperlink" Target="mailto:mohelal@zewailcity.edu.eg" TargetMode="External"/><Relationship Id="rId10" Type="http://schemas.openxmlformats.org/officeDocument/2006/relationships/hyperlink" Target="mailto:mkadah@zewailcity.edu.eg" TargetMode="External"/><Relationship Id="rId13" Type="http://schemas.openxmlformats.org/officeDocument/2006/relationships/hyperlink" Target="mailto:mdeyab@zewailcity.edu.eg" TargetMode="External"/><Relationship Id="rId12" Type="http://schemas.openxmlformats.org/officeDocument/2006/relationships/hyperlink" Target="mailto:selsafy@zewailcity.edu.eg" TargetMode="External"/><Relationship Id="rId1" Type="http://schemas.openxmlformats.org/officeDocument/2006/relationships/hyperlink" Target="mailto:nurhassan@zewailcity.edu.eg" TargetMode="External"/><Relationship Id="rId2" Type="http://schemas.openxmlformats.org/officeDocument/2006/relationships/hyperlink" Target="mailto:mahassan@zewailcity.edu.eg" TargetMode="External"/><Relationship Id="rId3" Type="http://schemas.openxmlformats.org/officeDocument/2006/relationships/hyperlink" Target="mailto:dmohamed@zewailcity.edu.eg" TargetMode="External"/><Relationship Id="rId4" Type="http://schemas.openxmlformats.org/officeDocument/2006/relationships/hyperlink" Target="mailto:nabdullah@zewailcity.edu.eg" TargetMode="External"/><Relationship Id="rId9" Type="http://schemas.openxmlformats.org/officeDocument/2006/relationships/hyperlink" Target="mailto:naboqara@zewailcity.edu.eg" TargetMode="External"/><Relationship Id="rId15" Type="http://schemas.openxmlformats.org/officeDocument/2006/relationships/hyperlink" Target="mailto:aabdelsayed@zewailcity.edu.eg" TargetMode="External"/><Relationship Id="rId14" Type="http://schemas.openxmlformats.org/officeDocument/2006/relationships/hyperlink" Target="mailto:aparsi@zewailcity.edu.eg" TargetMode="External"/><Relationship Id="rId16" Type="http://schemas.openxmlformats.org/officeDocument/2006/relationships/drawing" Target="../drawings/drawing1.xml"/><Relationship Id="rId5" Type="http://schemas.openxmlformats.org/officeDocument/2006/relationships/hyperlink" Target="mailto:rtaha@zewailcity.edu.eg" TargetMode="External"/><Relationship Id="rId6" Type="http://schemas.openxmlformats.org/officeDocument/2006/relationships/hyperlink" Target="mailto:omashal@zewailcity.edu.eg" TargetMode="External"/><Relationship Id="rId7" Type="http://schemas.openxmlformats.org/officeDocument/2006/relationships/hyperlink" Target="mailto:alahmed@zewailcity.edu.eg" TargetMode="External"/><Relationship Id="rId8" Type="http://schemas.openxmlformats.org/officeDocument/2006/relationships/hyperlink" Target="mailto:s-aliadawood@zewailcity.edu.eg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8" width="8.71"/>
    <col customWidth="1" min="19" max="19" width="11.0"/>
    <col customWidth="1" min="20" max="20" width="14.57"/>
    <col customWidth="1" min="21" max="31" width="8.71"/>
    <col customWidth="1" min="32" max="32" width="9.14"/>
    <col customWidth="1" min="33" max="33" width="26.86"/>
    <col customWidth="1" min="34" max="34" width="28.0"/>
    <col customWidth="1" min="35" max="35" width="40.0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ht="40.5" customHeight="1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>
      <c r="A3" s="4" t="s">
        <v>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5" ht="20.25" customHeight="1">
      <c r="D5" s="6" t="s">
        <v>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ht="20.25" customHeight="1">
      <c r="D6" s="7"/>
      <c r="E6" s="8"/>
      <c r="F6" s="9" t="s">
        <v>4</v>
      </c>
      <c r="G6" s="5"/>
      <c r="H6" s="8"/>
      <c r="I6" s="9" t="s">
        <v>5</v>
      </c>
      <c r="J6" s="5"/>
      <c r="K6" s="8"/>
      <c r="L6" s="9" t="s">
        <v>6</v>
      </c>
      <c r="M6" s="5"/>
      <c r="N6" s="8"/>
      <c r="O6" s="9" t="s">
        <v>7</v>
      </c>
      <c r="P6" s="5"/>
      <c r="Q6" s="8"/>
      <c r="R6" s="9" t="s">
        <v>8</v>
      </c>
      <c r="S6" s="5"/>
      <c r="T6" s="8"/>
    </row>
    <row r="7">
      <c r="D7" s="10" t="s">
        <v>9</v>
      </c>
      <c r="E7" s="8"/>
      <c r="F7" s="9"/>
      <c r="G7" s="5"/>
      <c r="H7" s="8"/>
      <c r="I7" s="9"/>
      <c r="J7" s="5"/>
      <c r="K7" s="8"/>
      <c r="L7" s="9"/>
      <c r="M7" s="5"/>
      <c r="N7" s="8"/>
      <c r="O7" s="9"/>
      <c r="P7" s="5"/>
      <c r="Q7" s="8"/>
      <c r="R7" s="9"/>
      <c r="S7" s="5"/>
      <c r="T7" s="8"/>
    </row>
    <row r="8">
      <c r="D8" s="10" t="s">
        <v>10</v>
      </c>
      <c r="E8" s="8"/>
      <c r="F8" s="9"/>
      <c r="G8" s="5"/>
      <c r="H8" s="8"/>
      <c r="I8" s="9"/>
      <c r="J8" s="5"/>
      <c r="K8" s="8"/>
      <c r="L8" s="9"/>
      <c r="M8" s="5"/>
      <c r="N8" s="8"/>
      <c r="O8" s="9"/>
      <c r="P8" s="5"/>
      <c r="Q8" s="8"/>
      <c r="R8" s="9"/>
      <c r="S8" s="5"/>
      <c r="T8" s="8"/>
    </row>
    <row r="9" ht="15.75" customHeight="1">
      <c r="D9" s="10" t="s">
        <v>11</v>
      </c>
      <c r="E9" s="8"/>
      <c r="F9" s="9"/>
      <c r="G9" s="5"/>
      <c r="H9" s="8"/>
      <c r="I9" s="9"/>
      <c r="J9" s="5"/>
      <c r="K9" s="8"/>
      <c r="L9" s="9"/>
      <c r="M9" s="5"/>
      <c r="N9" s="8"/>
      <c r="O9" s="9"/>
      <c r="P9" s="5"/>
      <c r="Q9" s="8"/>
      <c r="R9" s="9"/>
      <c r="S9" s="5"/>
      <c r="T9" s="8"/>
    </row>
    <row r="10" ht="15.75" customHeight="1">
      <c r="D10" s="10" t="s">
        <v>12</v>
      </c>
      <c r="E10" s="8"/>
      <c r="F10" s="11"/>
      <c r="G10" s="5"/>
      <c r="H10" s="8"/>
      <c r="I10" s="11"/>
      <c r="J10" s="5"/>
      <c r="K10" s="8"/>
      <c r="L10" s="9"/>
      <c r="M10" s="5"/>
      <c r="N10" s="8"/>
      <c r="O10" s="9"/>
      <c r="P10" s="5"/>
      <c r="Q10" s="8"/>
      <c r="R10" s="9"/>
      <c r="S10" s="5"/>
      <c r="T10" s="8"/>
    </row>
    <row r="11">
      <c r="D11" s="10" t="s">
        <v>13</v>
      </c>
      <c r="E11" s="8"/>
      <c r="F11" s="12"/>
      <c r="G11" s="5"/>
      <c r="H11" s="5"/>
      <c r="I11" s="5"/>
      <c r="J11" s="5"/>
      <c r="K11" s="5"/>
      <c r="L11" s="5"/>
      <c r="M11" s="5"/>
      <c r="N11" s="8"/>
      <c r="O11" s="13"/>
      <c r="P11" s="14"/>
      <c r="Q11" s="14"/>
      <c r="R11" s="14"/>
      <c r="S11" s="14"/>
    </row>
    <row r="12">
      <c r="D12" s="10" t="s">
        <v>14</v>
      </c>
      <c r="E12" s="8"/>
      <c r="F12" s="7"/>
      <c r="G12" s="5"/>
      <c r="H12" s="5"/>
      <c r="I12" s="5"/>
      <c r="J12" s="5"/>
      <c r="K12" s="5"/>
      <c r="L12" s="5"/>
      <c r="M12" s="5"/>
      <c r="N12" s="8"/>
      <c r="O12" s="13"/>
      <c r="P12" s="14"/>
      <c r="Q12" s="14"/>
      <c r="R12" s="14"/>
      <c r="S12" s="14"/>
    </row>
    <row r="13">
      <c r="D13" s="10" t="s">
        <v>15</v>
      </c>
      <c r="E13" s="8"/>
      <c r="F13" s="9"/>
      <c r="G13" s="5"/>
      <c r="H13" s="5"/>
      <c r="I13" s="5"/>
      <c r="J13" s="5"/>
      <c r="K13" s="5"/>
      <c r="L13" s="5"/>
      <c r="M13" s="5"/>
      <c r="N13" s="8"/>
      <c r="O13" s="13"/>
      <c r="P13" s="14"/>
      <c r="Q13" s="14"/>
      <c r="R13" s="14"/>
      <c r="S13" s="14"/>
    </row>
    <row r="14">
      <c r="D14" s="10" t="s">
        <v>16</v>
      </c>
      <c r="E14" s="8"/>
      <c r="F14" s="9"/>
      <c r="G14" s="5"/>
      <c r="H14" s="5"/>
      <c r="I14" s="5"/>
      <c r="J14" s="5"/>
      <c r="K14" s="5"/>
      <c r="L14" s="5"/>
      <c r="M14" s="5"/>
      <c r="N14" s="8"/>
      <c r="O14" s="13"/>
      <c r="P14" s="14"/>
      <c r="Q14" s="14"/>
      <c r="R14" s="14"/>
      <c r="S14" s="14"/>
      <c r="AG14" s="15" t="s">
        <v>14</v>
      </c>
      <c r="AH14" s="15" t="s">
        <v>16</v>
      </c>
      <c r="AI14" s="15" t="s">
        <v>17</v>
      </c>
    </row>
    <row r="15">
      <c r="D15" s="10" t="s">
        <v>17</v>
      </c>
      <c r="E15" s="8"/>
      <c r="F15" s="11" t="str">
        <f>IF((F14&lt;&gt;""),OFFSET($AH$14,MATCH(F14,AH15:AH31,0),1,1),"")</f>
        <v/>
      </c>
      <c r="G15" s="5"/>
      <c r="H15" s="5"/>
      <c r="I15" s="5"/>
      <c r="J15" s="5"/>
      <c r="K15" s="5"/>
      <c r="L15" s="5"/>
      <c r="M15" s="5"/>
      <c r="N15" s="8"/>
      <c r="O15" s="13"/>
      <c r="P15" s="14"/>
      <c r="Q15" s="14"/>
      <c r="R15" s="14"/>
      <c r="S15" s="14"/>
      <c r="AG15" s="15" t="s">
        <v>18</v>
      </c>
      <c r="AH15" s="15" t="s">
        <v>19</v>
      </c>
      <c r="AI15" s="16" t="s">
        <v>20</v>
      </c>
    </row>
    <row r="16">
      <c r="D16" s="10" t="s">
        <v>21</v>
      </c>
      <c r="E16" s="8"/>
      <c r="F16" s="9"/>
      <c r="G16" s="5"/>
      <c r="H16" s="5"/>
      <c r="I16" s="5"/>
      <c r="J16" s="5"/>
      <c r="K16" s="5"/>
      <c r="L16" s="5"/>
      <c r="M16" s="5"/>
      <c r="N16" s="8"/>
      <c r="O16" s="13"/>
      <c r="P16" s="14"/>
      <c r="Q16" s="14"/>
      <c r="R16" s="14"/>
      <c r="S16" s="14"/>
      <c r="AG16" s="15" t="s">
        <v>22</v>
      </c>
      <c r="AH16" s="15" t="s">
        <v>23</v>
      </c>
      <c r="AI16" s="16" t="s">
        <v>24</v>
      </c>
    </row>
    <row r="17">
      <c r="D17" s="10" t="s">
        <v>25</v>
      </c>
      <c r="E17" s="8"/>
      <c r="F17" s="9"/>
      <c r="G17" s="5"/>
      <c r="H17" s="5"/>
      <c r="I17" s="5"/>
      <c r="J17" s="5"/>
      <c r="K17" s="5"/>
      <c r="L17" s="5"/>
      <c r="M17" s="5"/>
      <c r="N17" s="8"/>
      <c r="O17" s="13"/>
      <c r="P17" s="14"/>
      <c r="Q17" s="14"/>
      <c r="R17" s="14"/>
      <c r="S17" s="14"/>
      <c r="AG17" s="15" t="s">
        <v>26</v>
      </c>
      <c r="AH17" s="15" t="s">
        <v>27</v>
      </c>
      <c r="AI17" s="16" t="s">
        <v>28</v>
      </c>
    </row>
    <row r="18">
      <c r="F18" s="17"/>
      <c r="G18" s="17"/>
      <c r="H18" s="18"/>
      <c r="I18" s="18"/>
      <c r="J18" s="18"/>
      <c r="K18" s="18"/>
      <c r="L18" s="18"/>
      <c r="M18" s="18"/>
      <c r="W18" s="19"/>
      <c r="AG18" s="15" t="s">
        <v>29</v>
      </c>
      <c r="AH18" s="15" t="s">
        <v>30</v>
      </c>
      <c r="AI18" s="16" t="s">
        <v>31</v>
      </c>
    </row>
    <row r="19" ht="18.75" customHeight="1">
      <c r="E19" s="20" t="s">
        <v>32</v>
      </c>
      <c r="F19" s="21"/>
      <c r="G19" s="22"/>
      <c r="H19" s="23" t="str">
        <f>IF(AND(F7&lt;&gt;"",F8&lt;&gt;"",F9&lt;&gt;""),CONCATENATE("Section ",F9," - ",A2," - ",F7," - ",F8),"Fill your personal information above")</f>
        <v>Fill your personal information above</v>
      </c>
      <c r="I19" s="21"/>
      <c r="J19" s="21"/>
      <c r="K19" s="21"/>
      <c r="L19" s="21"/>
      <c r="M19" s="22"/>
      <c r="W19" s="19"/>
      <c r="AG19" s="15"/>
      <c r="AH19" s="15" t="s">
        <v>33</v>
      </c>
      <c r="AI19" s="16" t="s">
        <v>34</v>
      </c>
    </row>
    <row r="20" ht="18.75" customHeight="1">
      <c r="E20" s="24"/>
      <c r="F20" s="2"/>
      <c r="G20" s="25"/>
      <c r="H20" s="24"/>
      <c r="I20" s="2"/>
      <c r="J20" s="2"/>
      <c r="K20" s="2"/>
      <c r="L20" s="2"/>
      <c r="M20" s="25"/>
      <c r="W20" s="19"/>
      <c r="AG20" s="15"/>
      <c r="AH20" s="15" t="s">
        <v>35</v>
      </c>
      <c r="AI20" s="16" t="s">
        <v>36</v>
      </c>
    </row>
    <row r="21" ht="18.75" customHeight="1">
      <c r="A21" s="26"/>
      <c r="E21" s="27" t="s">
        <v>37</v>
      </c>
      <c r="F21" s="21"/>
      <c r="G21" s="22"/>
      <c r="H21" s="23" t="str">
        <f>IF(AND(I7&lt;&gt;"",I8&lt;&gt;"",I9&lt;&gt;""),CONCATENATE("Section ",I9," - ",A2," - ",I7," - ",I8),"Fill your personal information above")</f>
        <v>Fill your personal information above</v>
      </c>
      <c r="I21" s="21"/>
      <c r="J21" s="21"/>
      <c r="K21" s="21"/>
      <c r="L21" s="21"/>
      <c r="M21" s="22"/>
      <c r="W21" s="19"/>
      <c r="AG21" s="15"/>
      <c r="AH21" s="15" t="s">
        <v>38</v>
      </c>
      <c r="AI21" s="16" t="s">
        <v>39</v>
      </c>
    </row>
    <row r="22" ht="18.75" customHeight="1">
      <c r="A22" s="26"/>
      <c r="E22" s="24"/>
      <c r="F22" s="2"/>
      <c r="G22" s="25"/>
      <c r="H22" s="24"/>
      <c r="I22" s="2"/>
      <c r="J22" s="2"/>
      <c r="K22" s="2"/>
      <c r="L22" s="2"/>
      <c r="M22" s="25"/>
      <c r="W22" s="19"/>
      <c r="AG22" s="15"/>
      <c r="AH22" s="15" t="s">
        <v>40</v>
      </c>
      <c r="AI22" s="16" t="s">
        <v>41</v>
      </c>
    </row>
    <row r="23" ht="18.75" customHeight="1">
      <c r="A23" s="26"/>
      <c r="E23" s="27" t="s">
        <v>42</v>
      </c>
      <c r="F23" s="21"/>
      <c r="G23" s="22"/>
      <c r="H23" s="23" t="str">
        <f>IF(AND(L7&lt;&gt;"",L8&lt;&gt;"",L9&lt;&gt;""),CONCATENATE("Section ",L9," - ",A2," - ",L7," - ",L8),"Fill your personal information above")</f>
        <v>Fill your personal information above</v>
      </c>
      <c r="I23" s="21"/>
      <c r="J23" s="21"/>
      <c r="K23" s="21"/>
      <c r="L23" s="21"/>
      <c r="M23" s="22"/>
      <c r="W23" s="19"/>
      <c r="AG23" s="15"/>
      <c r="AH23" s="15" t="s">
        <v>43</v>
      </c>
      <c r="AI23" s="16" t="s">
        <v>44</v>
      </c>
    </row>
    <row r="24" ht="18.75" customHeight="1">
      <c r="A24" s="26"/>
      <c r="E24" s="24"/>
      <c r="F24" s="2"/>
      <c r="G24" s="25"/>
      <c r="H24" s="24"/>
      <c r="I24" s="2"/>
      <c r="J24" s="2"/>
      <c r="K24" s="2"/>
      <c r="L24" s="2"/>
      <c r="M24" s="25"/>
      <c r="W24" s="19"/>
      <c r="AG24" s="15"/>
      <c r="AH24" s="15" t="s">
        <v>45</v>
      </c>
      <c r="AI24" s="16" t="s">
        <v>46</v>
      </c>
    </row>
    <row r="25" ht="20.25" customHeight="1">
      <c r="A25" s="26"/>
      <c r="E25" s="27" t="s">
        <v>47</v>
      </c>
      <c r="F25" s="21"/>
      <c r="G25" s="22"/>
      <c r="H25" s="23" t="str">
        <f>IF(AND(O7&lt;&gt;"",O8&lt;&gt;"",O9&lt;&gt;""),CONCATENATE("Section ",O9," -",A2," - ",O7," - ",O8),"Fill your personal information above")</f>
        <v>Fill your personal information above</v>
      </c>
      <c r="I25" s="21"/>
      <c r="J25" s="21"/>
      <c r="K25" s="21"/>
      <c r="L25" s="21"/>
      <c r="M25" s="22"/>
      <c r="W25" s="19"/>
      <c r="AG25" s="15"/>
      <c r="AH25" s="15" t="s">
        <v>48</v>
      </c>
      <c r="AI25" s="16" t="s">
        <v>49</v>
      </c>
    </row>
    <row r="26" ht="15.75" customHeight="1">
      <c r="E26" s="24"/>
      <c r="F26" s="2"/>
      <c r="G26" s="25"/>
      <c r="H26" s="24"/>
      <c r="I26" s="2"/>
      <c r="J26" s="2"/>
      <c r="K26" s="2"/>
      <c r="L26" s="2"/>
      <c r="M26" s="25"/>
      <c r="W26" s="19"/>
      <c r="AG26" s="15"/>
      <c r="AH26" s="15" t="s">
        <v>50</v>
      </c>
      <c r="AI26" s="16" t="s">
        <v>51</v>
      </c>
    </row>
    <row r="27" ht="15.75" customHeight="1">
      <c r="E27" s="27" t="s">
        <v>52</v>
      </c>
      <c r="F27" s="21"/>
      <c r="G27" s="22"/>
      <c r="H27" s="23" t="str">
        <f>IF(AND(R7&lt;&gt;"",R8&lt;&gt;"",R9&lt;&gt;""),CONCATENATE("Section ",R9," - ",A2," - ",R7," - ",R8),"Fill your personal information above")</f>
        <v>Fill your personal information above</v>
      </c>
      <c r="I27" s="21"/>
      <c r="J27" s="21"/>
      <c r="K27" s="21"/>
      <c r="L27" s="21"/>
      <c r="M27" s="22"/>
      <c r="W27" s="28"/>
      <c r="Y27" s="19"/>
      <c r="AG27" s="15"/>
      <c r="AH27" s="15" t="s">
        <v>53</v>
      </c>
      <c r="AI27" s="16" t="s">
        <v>54</v>
      </c>
    </row>
    <row r="28" ht="15.75" customHeight="1">
      <c r="E28" s="24"/>
      <c r="F28" s="2"/>
      <c r="G28" s="25"/>
      <c r="H28" s="24"/>
      <c r="I28" s="2"/>
      <c r="J28" s="2"/>
      <c r="K28" s="2"/>
      <c r="L28" s="2"/>
      <c r="M28" s="25"/>
      <c r="W28" s="28"/>
      <c r="AG28" s="15"/>
      <c r="AH28" s="15" t="s">
        <v>55</v>
      </c>
      <c r="AI28" s="16" t="s">
        <v>56</v>
      </c>
    </row>
    <row r="29" ht="15.75" customHeight="1">
      <c r="W29" s="28"/>
      <c r="AG29" s="15"/>
      <c r="AH29" s="15" t="s">
        <v>57</v>
      </c>
      <c r="AI29" s="16" t="s">
        <v>58</v>
      </c>
    </row>
    <row r="30" ht="15.75" customHeight="1">
      <c r="E30" s="29" t="s">
        <v>59</v>
      </c>
      <c r="O30" s="29"/>
      <c r="W30" s="28"/>
      <c r="AG30" s="15"/>
      <c r="AH30" s="15" t="s">
        <v>60</v>
      </c>
      <c r="AI30" s="16" t="s">
        <v>61</v>
      </c>
    </row>
    <row r="31" ht="15.75" customHeight="1">
      <c r="W31" s="28"/>
      <c r="AG31" s="15"/>
      <c r="AH31" s="15" t="s">
        <v>62</v>
      </c>
      <c r="AI31" s="16" t="s">
        <v>63</v>
      </c>
    </row>
    <row r="32" ht="15.75" customHeight="1"/>
    <row r="33" ht="15.75" customHeight="1">
      <c r="C33" s="30" t="s">
        <v>64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8"/>
    </row>
    <row r="34" ht="15.75" customHeight="1">
      <c r="C34" s="31"/>
      <c r="Q34" s="32"/>
    </row>
    <row r="35" ht="15.75" customHeight="1">
      <c r="C35" s="31"/>
      <c r="Q35" s="32"/>
    </row>
    <row r="36" ht="15.75" customHeight="1">
      <c r="C36" s="31"/>
      <c r="Q36" s="32"/>
    </row>
    <row r="37" ht="15.75" customHeight="1">
      <c r="C37" s="31"/>
      <c r="Q37" s="32"/>
    </row>
    <row r="38" ht="15.75" customHeight="1">
      <c r="C38" s="31"/>
      <c r="Q38" s="32"/>
    </row>
    <row r="39" ht="15.75" customHeight="1">
      <c r="C39" s="3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5"/>
    </row>
    <row r="40" ht="15.75" customHeight="1"/>
    <row r="41" ht="15.75" customHeight="1">
      <c r="C41" s="34" t="s">
        <v>65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7">
    <mergeCell ref="F9:H9"/>
    <mergeCell ref="I9:K9"/>
    <mergeCell ref="D10:E10"/>
    <mergeCell ref="F10:H10"/>
    <mergeCell ref="I10:K10"/>
    <mergeCell ref="D11:E11"/>
    <mergeCell ref="F11:N11"/>
    <mergeCell ref="D12:E12"/>
    <mergeCell ref="F12:N12"/>
    <mergeCell ref="D13:E13"/>
    <mergeCell ref="F13:N13"/>
    <mergeCell ref="D14:E14"/>
    <mergeCell ref="F14:N14"/>
    <mergeCell ref="F15:N15"/>
    <mergeCell ref="E25:G26"/>
    <mergeCell ref="E27:G28"/>
    <mergeCell ref="E19:G20"/>
    <mergeCell ref="H19:M20"/>
    <mergeCell ref="E21:G22"/>
    <mergeCell ref="H21:M22"/>
    <mergeCell ref="E23:G24"/>
    <mergeCell ref="H23:M24"/>
    <mergeCell ref="H25:M26"/>
    <mergeCell ref="C38:Q38"/>
    <mergeCell ref="C39:Q39"/>
    <mergeCell ref="C41:R41"/>
    <mergeCell ref="H27:M28"/>
    <mergeCell ref="E30:N30"/>
    <mergeCell ref="C33:Q33"/>
    <mergeCell ref="C34:Q34"/>
    <mergeCell ref="C35:Q35"/>
    <mergeCell ref="C36:Q36"/>
    <mergeCell ref="C37:Q37"/>
    <mergeCell ref="L6:N6"/>
    <mergeCell ref="O6:Q6"/>
    <mergeCell ref="A1:T1"/>
    <mergeCell ref="A2:T2"/>
    <mergeCell ref="A3:T3"/>
    <mergeCell ref="D5:T5"/>
    <mergeCell ref="F6:H6"/>
    <mergeCell ref="I6:K6"/>
    <mergeCell ref="R6:T6"/>
    <mergeCell ref="D6:E6"/>
    <mergeCell ref="D7:E7"/>
    <mergeCell ref="F7:H7"/>
    <mergeCell ref="I7:K7"/>
    <mergeCell ref="L7:N7"/>
    <mergeCell ref="O7:Q7"/>
    <mergeCell ref="R7:T7"/>
    <mergeCell ref="L9:N9"/>
    <mergeCell ref="O9:Q9"/>
    <mergeCell ref="L10:N10"/>
    <mergeCell ref="O10:Q10"/>
    <mergeCell ref="R10:T10"/>
    <mergeCell ref="D8:E8"/>
    <mergeCell ref="F8:H8"/>
    <mergeCell ref="I8:K8"/>
    <mergeCell ref="L8:N8"/>
    <mergeCell ref="O8:Q8"/>
    <mergeCell ref="R8:T8"/>
    <mergeCell ref="D9:E9"/>
    <mergeCell ref="R9:T9"/>
    <mergeCell ref="D15:E15"/>
    <mergeCell ref="D16:E16"/>
    <mergeCell ref="D17:E17"/>
    <mergeCell ref="F16:N16"/>
    <mergeCell ref="F17:N17"/>
  </mergeCells>
  <dataValidations>
    <dataValidation type="list" allowBlank="1" showErrorMessage="1" sqref="F12">
      <formula1>$AG$15:$AG$18</formula1>
    </dataValidation>
    <dataValidation type="list" allowBlank="1" showErrorMessage="1" sqref="F14">
      <formula1>$AH$15:$AH$31</formula1>
    </dataValidation>
  </dataValidations>
  <hyperlinks>
    <hyperlink r:id="rId1" ref="AI15"/>
    <hyperlink r:id="rId2" ref="AI16"/>
    <hyperlink r:id="rId3" ref="AI17"/>
    <hyperlink r:id="rId4" ref="AI18"/>
    <hyperlink r:id="rId5" ref="AI19"/>
    <hyperlink r:id="rId6" ref="AI20"/>
    <hyperlink r:id="rId7" ref="AI21"/>
    <hyperlink r:id="rId8" ref="AI22"/>
    <hyperlink r:id="rId9" ref="AI24"/>
    <hyperlink r:id="rId10" ref="AI25"/>
    <hyperlink r:id="rId11" ref="AI26"/>
    <hyperlink r:id="rId12" ref="AI27"/>
    <hyperlink r:id="rId13" ref="AI29"/>
    <hyperlink r:id="rId14" ref="AI30"/>
    <hyperlink r:id="rId15" ref="AI31"/>
  </hyperlinks>
  <printOptions/>
  <pageMargins bottom="0.75" footer="0.0" header="0.0" left="0.7" right="0.7" top="0.75"/>
  <pageSetup orientation="portrait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5" width="9.86"/>
    <col customWidth="1" min="16" max="26" width="8.71"/>
  </cols>
  <sheetData>
    <row r="1">
      <c r="A1" s="35" t="s">
        <v>66</v>
      </c>
    </row>
    <row r="2">
      <c r="A2" s="34" t="s">
        <v>67</v>
      </c>
    </row>
    <row r="3">
      <c r="A3" s="34" t="s">
        <v>68</v>
      </c>
    </row>
    <row r="4">
      <c r="A4" s="34" t="s">
        <v>69</v>
      </c>
    </row>
    <row r="5">
      <c r="A5" s="34" t="s">
        <v>70</v>
      </c>
    </row>
    <row r="6">
      <c r="A6" s="36" t="s">
        <v>71</v>
      </c>
    </row>
    <row r="7">
      <c r="A7" s="36" t="s">
        <v>72</v>
      </c>
    </row>
    <row r="8">
      <c r="A8" s="34" t="s">
        <v>73</v>
      </c>
    </row>
    <row r="9">
      <c r="A9" s="34" t="s">
        <v>74</v>
      </c>
    </row>
    <row r="10">
      <c r="A10" s="34" t="s">
        <v>75</v>
      </c>
    </row>
    <row r="11">
      <c r="B11" s="36" t="s">
        <v>76</v>
      </c>
    </row>
    <row r="12">
      <c r="B12" s="34" t="s">
        <v>77</v>
      </c>
    </row>
    <row r="13">
      <c r="B13" s="34" t="s">
        <v>78</v>
      </c>
    </row>
    <row r="14">
      <c r="B14" s="34" t="s">
        <v>79</v>
      </c>
    </row>
    <row r="15">
      <c r="B15" s="34" t="s">
        <v>80</v>
      </c>
    </row>
    <row r="16">
      <c r="B16" s="34" t="s">
        <v>81</v>
      </c>
    </row>
    <row r="17">
      <c r="B17" s="34" t="s">
        <v>82</v>
      </c>
    </row>
    <row r="18">
      <c r="B18" s="36" t="s">
        <v>83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A1:O1"/>
    <mergeCell ref="A2:O2"/>
    <mergeCell ref="A3:O3"/>
    <mergeCell ref="A4:O4"/>
    <mergeCell ref="A5:O5"/>
    <mergeCell ref="A6:O6"/>
    <mergeCell ref="A7:O7"/>
    <mergeCell ref="B15:O15"/>
    <mergeCell ref="B16:O16"/>
    <mergeCell ref="B17:O17"/>
    <mergeCell ref="B18:O18"/>
    <mergeCell ref="A8:O8"/>
    <mergeCell ref="A9:O9"/>
    <mergeCell ref="A10:O10"/>
    <mergeCell ref="B11:O11"/>
    <mergeCell ref="B12:O12"/>
    <mergeCell ref="B13:O13"/>
    <mergeCell ref="B14:O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18.71"/>
    <col customWidth="1" min="2" max="2" width="19.71"/>
    <col customWidth="1" min="3" max="3" width="19.14"/>
    <col customWidth="1" min="4" max="26" width="18.71"/>
  </cols>
  <sheetData>
    <row r="1">
      <c r="A1" s="37" t="s">
        <v>84</v>
      </c>
      <c r="B1" s="2"/>
      <c r="C1" s="2"/>
      <c r="D1" s="2"/>
      <c r="E1" s="2"/>
      <c r="F1" s="2"/>
      <c r="G1" s="2"/>
      <c r="H1" s="2"/>
      <c r="I1" s="2"/>
      <c r="J1" s="2"/>
      <c r="K1" s="37"/>
      <c r="L1" s="37"/>
      <c r="M1" s="37"/>
      <c r="N1" s="37"/>
      <c r="O1" s="37"/>
      <c r="P1" s="37"/>
      <c r="Q1" s="37"/>
      <c r="R1" s="38"/>
      <c r="S1" s="38"/>
      <c r="T1" s="38"/>
      <c r="U1" s="38"/>
      <c r="V1" s="38"/>
      <c r="W1" s="38"/>
      <c r="X1" s="38"/>
      <c r="Y1" s="38"/>
      <c r="Z1" s="38"/>
    </row>
    <row r="2" ht="54.75" customHeight="1">
      <c r="A2" s="39" t="s">
        <v>85</v>
      </c>
      <c r="B2" s="5"/>
      <c r="C2" s="5"/>
      <c r="D2" s="5"/>
      <c r="E2" s="5"/>
      <c r="F2" s="5"/>
      <c r="G2" s="5"/>
      <c r="H2" s="5"/>
      <c r="I2" s="5"/>
      <c r="J2" s="5"/>
      <c r="K2" s="40"/>
      <c r="L2" s="40"/>
      <c r="M2" s="40"/>
      <c r="N2" s="41"/>
      <c r="O2" s="41"/>
      <c r="P2" s="41"/>
      <c r="Q2" s="41"/>
      <c r="R2" s="38"/>
      <c r="S2" s="38"/>
      <c r="T2" s="38"/>
      <c r="U2" s="38"/>
      <c r="V2" s="38"/>
      <c r="W2" s="38"/>
      <c r="X2" s="38"/>
      <c r="Y2" s="38"/>
      <c r="Z2" s="38"/>
    </row>
    <row r="3" ht="19.5" customHeight="1">
      <c r="A3" s="42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2"/>
      <c r="V3" s="42"/>
      <c r="W3" s="42"/>
      <c r="X3" s="42"/>
      <c r="Y3" s="42"/>
      <c r="Z3" s="42"/>
    </row>
    <row r="4" ht="19.5" customHeight="1">
      <c r="A4" s="44" t="s">
        <v>86</v>
      </c>
      <c r="B4" s="5"/>
      <c r="C4" s="8"/>
      <c r="D4" s="45"/>
      <c r="E4" s="42"/>
      <c r="F4" s="42"/>
      <c r="G4" s="46"/>
      <c r="H4" s="42"/>
      <c r="I4" s="42"/>
      <c r="J4" s="42"/>
      <c r="K4" s="43"/>
      <c r="L4" s="43"/>
      <c r="M4" s="43"/>
      <c r="N4" s="43"/>
      <c r="O4" s="43"/>
      <c r="P4" s="43"/>
      <c r="Q4" s="43"/>
      <c r="R4" s="43"/>
      <c r="S4" s="43"/>
      <c r="T4" s="43"/>
      <c r="U4" s="42"/>
      <c r="V4" s="42"/>
      <c r="W4" s="42"/>
      <c r="X4" s="42"/>
      <c r="Y4" s="42"/>
      <c r="Z4" s="42"/>
    </row>
    <row r="5" ht="19.5" customHeight="1">
      <c r="A5" s="47" t="s">
        <v>87</v>
      </c>
      <c r="B5" s="5"/>
      <c r="C5" s="8"/>
      <c r="D5" s="48"/>
      <c r="E5" s="42"/>
      <c r="F5" s="42"/>
      <c r="G5" s="49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ht="19.5" customHeight="1">
      <c r="A6" s="50" t="s">
        <v>88</v>
      </c>
      <c r="B6" s="5"/>
      <c r="C6" s="8"/>
      <c r="D6" s="48"/>
      <c r="E6" s="42"/>
      <c r="F6" s="42"/>
      <c r="G6" s="49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ht="23.25" customHeight="1">
      <c r="A7" s="42"/>
      <c r="B7" s="42"/>
      <c r="C7" s="42"/>
      <c r="D7" s="51"/>
      <c r="E7" s="42"/>
      <c r="F7" s="46"/>
      <c r="G7" s="46"/>
      <c r="H7" s="46"/>
      <c r="I7" s="46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ht="57.0" customHeight="1">
      <c r="A8" s="42"/>
      <c r="B8" s="42"/>
      <c r="C8" s="52" t="s">
        <v>89</v>
      </c>
      <c r="D8" s="42"/>
      <c r="E8" s="53"/>
      <c r="F8" s="42"/>
      <c r="G8" s="42"/>
      <c r="H8" s="52" t="s">
        <v>90</v>
      </c>
      <c r="I8" s="42"/>
      <c r="J8" s="42"/>
      <c r="K8" s="42"/>
      <c r="L8" s="42"/>
      <c r="M8" s="52" t="s">
        <v>91</v>
      </c>
      <c r="N8" s="42"/>
      <c r="O8" s="42"/>
      <c r="P8" s="42"/>
      <c r="Q8" s="42"/>
      <c r="R8" s="52" t="s">
        <v>92</v>
      </c>
      <c r="S8" s="42"/>
      <c r="T8" s="42"/>
      <c r="U8" s="42"/>
      <c r="V8" s="42"/>
      <c r="W8" s="52" t="s">
        <v>93</v>
      </c>
      <c r="X8" s="42"/>
      <c r="Y8" s="42"/>
      <c r="Z8" s="42"/>
    </row>
    <row r="9" ht="21.0" customHeight="1">
      <c r="A9" s="54" t="s">
        <v>94</v>
      </c>
      <c r="B9" s="55" t="s">
        <v>95</v>
      </c>
      <c r="C9" s="55"/>
      <c r="D9" s="56"/>
      <c r="E9" s="57"/>
      <c r="F9" s="54" t="s">
        <v>96</v>
      </c>
      <c r="G9" s="55" t="s">
        <v>95</v>
      </c>
      <c r="H9" s="55"/>
      <c r="I9" s="56"/>
      <c r="J9" s="42"/>
      <c r="K9" s="54" t="s">
        <v>97</v>
      </c>
      <c r="L9" s="55" t="s">
        <v>95</v>
      </c>
      <c r="M9" s="55"/>
      <c r="N9" s="56"/>
      <c r="O9" s="42"/>
      <c r="P9" s="54" t="s">
        <v>98</v>
      </c>
      <c r="Q9" s="55" t="s">
        <v>95</v>
      </c>
      <c r="R9" s="55"/>
      <c r="S9" s="56"/>
      <c r="T9" s="42"/>
      <c r="U9" s="54" t="s">
        <v>99</v>
      </c>
      <c r="V9" s="55" t="s">
        <v>95</v>
      </c>
      <c r="W9" s="55"/>
      <c r="X9" s="56"/>
      <c r="Y9" s="42"/>
      <c r="Z9" s="42"/>
    </row>
    <row r="10" ht="21.0" customHeight="1">
      <c r="A10" s="58"/>
      <c r="B10" s="55" t="s">
        <v>100</v>
      </c>
      <c r="C10" s="55"/>
      <c r="D10" s="56"/>
      <c r="E10" s="57"/>
      <c r="F10" s="58"/>
      <c r="G10" s="55" t="s">
        <v>100</v>
      </c>
      <c r="H10" s="55"/>
      <c r="I10" s="56"/>
      <c r="J10" s="42"/>
      <c r="K10" s="58"/>
      <c r="L10" s="55" t="s">
        <v>100</v>
      </c>
      <c r="M10" s="55"/>
      <c r="N10" s="56"/>
      <c r="O10" s="42"/>
      <c r="P10" s="58"/>
      <c r="Q10" s="55" t="s">
        <v>100</v>
      </c>
      <c r="R10" s="55"/>
      <c r="S10" s="56"/>
      <c r="T10" s="42"/>
      <c r="U10" s="58"/>
      <c r="V10" s="55" t="s">
        <v>100</v>
      </c>
      <c r="W10" s="55"/>
      <c r="X10" s="56"/>
      <c r="Y10" s="42"/>
      <c r="Z10" s="42"/>
    </row>
    <row r="11" ht="21.0" customHeight="1">
      <c r="A11" s="58"/>
      <c r="B11" s="55" t="s">
        <v>101</v>
      </c>
      <c r="C11" s="55" t="str">
        <f>IF(C9&lt;&gt;"",AVERAGE(C9:C10),"")</f>
        <v/>
      </c>
      <c r="D11" s="56"/>
      <c r="E11" s="57"/>
      <c r="F11" s="58"/>
      <c r="G11" s="55" t="s">
        <v>101</v>
      </c>
      <c r="H11" s="55" t="str">
        <f>IF(H9&lt;&gt;"",AVERAGE(H9:H10),"")</f>
        <v/>
      </c>
      <c r="I11" s="56"/>
      <c r="J11" s="42"/>
      <c r="K11" s="58"/>
      <c r="L11" s="55" t="s">
        <v>101</v>
      </c>
      <c r="M11" s="55" t="str">
        <f>IF(M9&lt;&gt;"",AVERAGE(M9:M10),"")</f>
        <v/>
      </c>
      <c r="N11" s="56"/>
      <c r="O11" s="42"/>
      <c r="P11" s="58"/>
      <c r="Q11" s="55" t="s">
        <v>101</v>
      </c>
      <c r="R11" s="55" t="str">
        <f>IF(R9&lt;&gt;"",AVERAGE(R9:R10),"")</f>
        <v/>
      </c>
      <c r="S11" s="56"/>
      <c r="T11" s="42"/>
      <c r="U11" s="58"/>
      <c r="V11" s="55" t="s">
        <v>101</v>
      </c>
      <c r="W11" s="55" t="str">
        <f>IF(W9&lt;&gt;"",AVERAGE(W9:W10),"")</f>
        <v/>
      </c>
      <c r="X11" s="56"/>
      <c r="Y11" s="42"/>
      <c r="Z11" s="42"/>
    </row>
    <row r="12" ht="58.5" customHeight="1">
      <c r="A12" s="59"/>
      <c r="B12" s="60"/>
      <c r="C12" s="52" t="s">
        <v>102</v>
      </c>
      <c r="D12" s="61" t="s">
        <v>103</v>
      </c>
      <c r="E12" s="57"/>
      <c r="F12" s="59"/>
      <c r="G12" s="60"/>
      <c r="H12" s="52" t="s">
        <v>104</v>
      </c>
      <c r="I12" s="61" t="s">
        <v>105</v>
      </c>
      <c r="J12" s="42"/>
      <c r="K12" s="59"/>
      <c r="L12" s="60"/>
      <c r="M12" s="52" t="s">
        <v>106</v>
      </c>
      <c r="N12" s="61" t="s">
        <v>107</v>
      </c>
      <c r="O12" s="42"/>
      <c r="P12" s="59"/>
      <c r="Q12" s="60"/>
      <c r="R12" s="52" t="s">
        <v>108</v>
      </c>
      <c r="S12" s="61" t="s">
        <v>109</v>
      </c>
      <c r="T12" s="42"/>
      <c r="U12" s="59"/>
      <c r="V12" s="60"/>
      <c r="W12" s="52" t="s">
        <v>110</v>
      </c>
      <c r="X12" s="61" t="s">
        <v>111</v>
      </c>
      <c r="Y12" s="42"/>
      <c r="Z12" s="42"/>
    </row>
    <row r="13" ht="21.0" customHeight="1">
      <c r="A13" s="42"/>
      <c r="B13" s="56"/>
      <c r="C13" s="54"/>
      <c r="D13" s="61"/>
      <c r="E13" s="57"/>
      <c r="F13" s="57"/>
      <c r="G13" s="56"/>
      <c r="H13" s="61"/>
      <c r="I13" s="61"/>
      <c r="J13" s="42"/>
      <c r="K13" s="42"/>
      <c r="L13" s="56"/>
      <c r="M13" s="61" t="str">
        <f>IF(M11&lt;&gt;"",M11*PI()/180,"")</f>
        <v/>
      </c>
      <c r="N13" s="61"/>
      <c r="O13" s="42"/>
      <c r="P13" s="42"/>
      <c r="Q13" s="56"/>
      <c r="R13" s="61" t="str">
        <f>IF(R11&lt;&gt;"",R11*PI()/180,"")</f>
        <v/>
      </c>
      <c r="S13" s="61"/>
      <c r="T13" s="42"/>
      <c r="U13" s="42"/>
      <c r="V13" s="56"/>
      <c r="W13" s="61" t="str">
        <f>IF(W11&lt;&gt;"",W11*PI()/180,"")</f>
        <v/>
      </c>
      <c r="X13" s="61"/>
      <c r="Y13" s="42"/>
      <c r="Z13" s="42"/>
    </row>
    <row r="14" ht="21.0" customHeight="1">
      <c r="A14" s="42"/>
      <c r="B14" s="56"/>
      <c r="C14" s="62"/>
      <c r="D14" s="56"/>
      <c r="E14" s="57"/>
      <c r="F14" s="57"/>
      <c r="G14" s="56"/>
      <c r="H14" s="56"/>
      <c r="I14" s="56"/>
      <c r="J14" s="42"/>
      <c r="K14" s="42"/>
      <c r="L14" s="56"/>
      <c r="M14" s="56"/>
      <c r="N14" s="56"/>
      <c r="O14" s="42"/>
      <c r="P14" s="42"/>
      <c r="Q14" s="56"/>
      <c r="R14" s="56"/>
      <c r="S14" s="56"/>
      <c r="T14" s="42"/>
      <c r="U14" s="42"/>
      <c r="V14" s="56"/>
      <c r="W14" s="56"/>
      <c r="X14" s="56"/>
      <c r="Y14" s="42"/>
      <c r="Z14" s="42"/>
    </row>
    <row r="15" ht="21.0" customHeight="1">
      <c r="A15" s="42"/>
      <c r="B15" s="63"/>
      <c r="C15" s="63"/>
      <c r="D15" s="3"/>
      <c r="E15" s="46"/>
      <c r="F15" s="46"/>
      <c r="G15" s="46"/>
      <c r="H15" s="46"/>
      <c r="I15" s="46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ht="52.5" customHeight="1">
      <c r="A16" s="42"/>
      <c r="B16" s="64" t="s">
        <v>112</v>
      </c>
      <c r="C16" s="65" t="s">
        <v>113</v>
      </c>
      <c r="D16" s="42"/>
      <c r="E16" s="66" t="s">
        <v>114</v>
      </c>
      <c r="F16" s="21"/>
      <c r="G16" s="21"/>
      <c r="H16" s="21"/>
      <c r="I16" s="2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ht="21.0" customHeight="1">
      <c r="A17" s="42"/>
      <c r="B17" s="61">
        <v>0.0</v>
      </c>
      <c r="C17" s="61" t="str">
        <f>IF(D$13&lt;&gt;"",D$13,"")</f>
        <v/>
      </c>
      <c r="D17" s="53"/>
      <c r="E17" s="67"/>
      <c r="I17" s="3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ht="21.0" customHeight="1">
      <c r="A18" s="42"/>
      <c r="B18" s="61">
        <f>0.15^2</f>
        <v>0.0225</v>
      </c>
      <c r="C18" s="61" t="str">
        <f>IF(I$13&lt;&gt;"",I$13,"")</f>
        <v/>
      </c>
      <c r="D18" s="53"/>
      <c r="E18" s="67"/>
      <c r="I18" s="3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ht="21.0" customHeight="1">
      <c r="A19" s="42"/>
      <c r="B19" s="61">
        <f>0.2^2</f>
        <v>0.04</v>
      </c>
      <c r="C19" s="61" t="str">
        <f>IF(N$13&lt;&gt;"",N$13,"")</f>
        <v/>
      </c>
      <c r="D19" s="53"/>
      <c r="E19" s="67"/>
      <c r="I19" s="3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ht="21.0" customHeight="1">
      <c r="A20" s="42"/>
      <c r="B20" s="61">
        <f>0.25^2</f>
        <v>0.0625</v>
      </c>
      <c r="C20" s="61" t="str">
        <f>IF(S$13&lt;&gt;"",S$13,"")</f>
        <v/>
      </c>
      <c r="D20" s="53"/>
      <c r="E20" s="67"/>
      <c r="I20" s="3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ht="21.0" customHeight="1">
      <c r="A21" s="42"/>
      <c r="B21" s="61">
        <f>0.3^2</f>
        <v>0.09</v>
      </c>
      <c r="C21" s="61" t="str">
        <f>IF(X$13&lt;&gt;"",X$13,"")</f>
        <v/>
      </c>
      <c r="D21" s="53"/>
      <c r="E21" s="67"/>
      <c r="I21" s="3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ht="21.0" customHeight="1">
      <c r="A22" s="42"/>
      <c r="B22" s="56"/>
      <c r="C22" s="42"/>
      <c r="D22" s="53"/>
      <c r="E22" s="67"/>
      <c r="I22" s="3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ht="21.0" customHeight="1">
      <c r="A23" s="42"/>
      <c r="B23" s="42"/>
      <c r="C23" s="42"/>
      <c r="D23" s="42"/>
      <c r="E23" s="67"/>
      <c r="I23" s="3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ht="21.0" customHeight="1">
      <c r="A24" s="60" t="s">
        <v>115</v>
      </c>
      <c r="B24" s="8"/>
      <c r="C24" s="68"/>
      <c r="D24" s="42"/>
      <c r="E24" s="67"/>
      <c r="I24" s="3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ht="21.0" customHeight="1">
      <c r="A25" s="60" t="s">
        <v>116</v>
      </c>
      <c r="B25" s="8"/>
      <c r="C25" s="68"/>
      <c r="D25" s="42"/>
      <c r="E25" s="67"/>
      <c r="I25" s="3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ht="21.0" customHeight="1">
      <c r="A26" s="42"/>
      <c r="B26" s="42"/>
      <c r="C26" s="42"/>
      <c r="D26" s="42"/>
      <c r="E26" s="67"/>
      <c r="I26" s="3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ht="21.0" customHeight="1">
      <c r="A27" s="42"/>
      <c r="B27" s="42"/>
      <c r="C27" s="42"/>
      <c r="D27" s="42"/>
      <c r="E27" s="67"/>
      <c r="I27" s="3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ht="21.0" customHeight="1">
      <c r="A28" s="42"/>
      <c r="B28" s="42"/>
      <c r="C28" s="42"/>
      <c r="D28" s="42"/>
      <c r="E28" s="67"/>
      <c r="I28" s="3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ht="21.0" customHeight="1">
      <c r="A29" s="42"/>
      <c r="B29" s="42"/>
      <c r="C29" s="42"/>
      <c r="D29" s="42"/>
      <c r="E29" s="24"/>
      <c r="F29" s="2"/>
      <c r="G29" s="2"/>
      <c r="H29" s="2"/>
      <c r="I29" s="25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ht="21.0" customHeight="1">
      <c r="A30" s="42"/>
      <c r="B30" s="42"/>
      <c r="C30" s="42"/>
      <c r="D30" s="42"/>
      <c r="E30" s="3"/>
      <c r="F30" s="3"/>
      <c r="G30" s="3"/>
      <c r="H30" s="3"/>
      <c r="I30" s="3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ht="21.0" customHeight="1">
      <c r="A31" s="42"/>
      <c r="B31" s="42"/>
      <c r="C31" s="42"/>
      <c r="D31" s="42"/>
      <c r="E31" s="3"/>
      <c r="F31" s="3"/>
      <c r="G31" s="3"/>
      <c r="H31" s="3"/>
      <c r="I31" s="3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ht="21.0" customHeight="1">
      <c r="A32" s="42"/>
      <c r="B32" s="42"/>
      <c r="C32" s="42"/>
      <c r="D32" s="42"/>
      <c r="E32" s="3"/>
      <c r="F32" s="3"/>
      <c r="G32" s="3"/>
      <c r="H32" s="3"/>
      <c r="I32" s="3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ht="21.0" customHeight="1">
      <c r="A33" s="42"/>
      <c r="B33" s="42"/>
      <c r="C33" s="42"/>
      <c r="D33" s="42"/>
      <c r="E33" s="3"/>
      <c r="F33" s="3"/>
      <c r="G33" s="3"/>
      <c r="H33" s="3"/>
      <c r="I33" s="3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ht="21.0" customHeight="1">
      <c r="A34" s="42"/>
      <c r="B34" s="42"/>
      <c r="C34" s="42"/>
      <c r="D34" s="42"/>
      <c r="E34" s="5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ht="21.0" customHeight="1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ht="21.0" customHeigh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ht="21.0" customHeigh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ht="21.0" customHeigh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ht="21.0" customHeight="1">
      <c r="A39" s="42"/>
      <c r="B39" s="42"/>
      <c r="C39" s="42"/>
      <c r="D39" s="42"/>
      <c r="E39" s="57"/>
      <c r="F39" s="57"/>
      <c r="G39" s="57"/>
      <c r="H39" s="57"/>
      <c r="I39" s="57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ht="21.0" customHeight="1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ht="21.0" customHeight="1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ht="21.0" customHeight="1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ht="21.0" customHeight="1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ht="21.0" customHeight="1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ht="21.0" customHeight="1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ht="21.0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ht="21.0" customHeight="1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ht="21.0" customHeight="1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ht="21.0" customHeight="1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ht="21.0" customHeight="1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ht="21.0" customHeight="1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ht="21.0" customHeight="1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ht="21.0" customHeight="1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ht="21.0" customHeight="1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ht="21.0" customHeight="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ht="21.0" customHeight="1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ht="21.0" customHeight="1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ht="21.0" customHeight="1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ht="21.0" customHeight="1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ht="21.0" customHeight="1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ht="21.0" customHeight="1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ht="21.0" customHeight="1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ht="21.0" customHeight="1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ht="21.0" customHeight="1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ht="21.0" customHeight="1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ht="21.0" customHeight="1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ht="21.0" customHeight="1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ht="21.0" customHeight="1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ht="21.0" customHeight="1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ht="21.0" customHeight="1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ht="21.0" customHeight="1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ht="21.0" customHeight="1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ht="21.0" customHeight="1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ht="21.0" customHeight="1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ht="21.0" customHeight="1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ht="21.0" customHeight="1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ht="21.0" customHeight="1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ht="21.0" customHeight="1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ht="21.0" customHeight="1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ht="21.0" customHeight="1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ht="21.0" customHeight="1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ht="21.0" customHeight="1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ht="21.0" customHeight="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ht="21.0" customHeight="1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ht="21.0" customHeight="1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ht="15.75" customHeight="1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ht="15.75" customHeight="1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ht="15.75" customHeight="1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ht="15.75" customHeight="1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ht="15.75" customHeight="1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ht="15.75" customHeight="1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ht="15.75" customHeight="1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ht="15.75" customHeight="1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ht="15.75" customHeight="1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ht="15.75" customHeight="1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ht="15.75" customHeight="1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ht="15.75" customHeight="1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ht="15.75" customHeight="1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ht="15.75" customHeight="1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ht="15.75" customHeight="1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ht="15.75" customHeight="1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ht="15.75" customHeight="1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ht="15.75" customHeight="1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ht="15.75" customHeight="1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ht="15.75" customHeight="1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ht="15.75" customHeight="1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ht="15.75" customHeight="1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ht="15.75" customHeight="1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ht="15.75" customHeight="1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ht="15.75" customHeight="1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ht="15.75" customHeight="1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ht="15.75" customHeight="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ht="15.75" customHeight="1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ht="15.75" customHeight="1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ht="15.75" customHeight="1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ht="15.75" customHeight="1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ht="15.75" customHeight="1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ht="15.75" customHeight="1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ht="15.75" customHeight="1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ht="15.75" customHeight="1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ht="15.75" customHeight="1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ht="15.75" customHeight="1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ht="15.75" customHeight="1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ht="15.75" customHeight="1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ht="15.75" customHeight="1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ht="15.75" customHeight="1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ht="15.75" customHeight="1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ht="15.75" customHeight="1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ht="15.75" customHeight="1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ht="15.75" customHeight="1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ht="15.75" customHeight="1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ht="15.75" customHeight="1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ht="15.75" customHeight="1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ht="15.75" customHeight="1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ht="15.75" customHeight="1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ht="15.75" customHeight="1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ht="15.75" customHeight="1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ht="15.75" customHeight="1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ht="15.75" customHeight="1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ht="15.75" customHeight="1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ht="15.75" customHeight="1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ht="15.75" customHeight="1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ht="15.75" customHeight="1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ht="15.75" customHeight="1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ht="15.75" customHeight="1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ht="15.75" customHeight="1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ht="15.75" customHeight="1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ht="15.75" customHeight="1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ht="15.75" customHeight="1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ht="15.75" customHeight="1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ht="15.75" customHeight="1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ht="15.75" customHeight="1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ht="15.75" customHeight="1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ht="15.75" customHeight="1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ht="15.75" customHeight="1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ht="15.75" customHeight="1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ht="15.75" customHeight="1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ht="15.75" customHeight="1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ht="15.75" customHeight="1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ht="15.75" customHeight="1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ht="15.75" customHeight="1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ht="15.75" customHeight="1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ht="15.75" customHeight="1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ht="15.75" customHeight="1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ht="15.75" customHeight="1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ht="15.75" customHeight="1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ht="15.75" customHeight="1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ht="15.75" customHeight="1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ht="15.75" customHeight="1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ht="15.75" customHeight="1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ht="15.75" customHeight="1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ht="15.75" customHeight="1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ht="15.75" customHeight="1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ht="15.75" customHeight="1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ht="15.75" customHeight="1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ht="15.75" customHeight="1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ht="15.75" customHeight="1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ht="15.75" customHeight="1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ht="15.75" customHeight="1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ht="15.75" customHeight="1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ht="15.75" customHeight="1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ht="15.75" customHeight="1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ht="15.75" customHeight="1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ht="15.75" customHeight="1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ht="15.75" customHeight="1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ht="15.75" customHeight="1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ht="15.75" customHeight="1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ht="15.75" customHeight="1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ht="15.75" customHeight="1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ht="15.75" customHeight="1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ht="15.75" customHeight="1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ht="15.75" customHeight="1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ht="15.75" customHeight="1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ht="15.75" customHeight="1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ht="15.75" customHeight="1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ht="15.75" customHeight="1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ht="15.75" customHeight="1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ht="15.75" customHeight="1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ht="15.75" customHeight="1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ht="15.75" customHeight="1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ht="15.75" customHeight="1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ht="15.75" customHeight="1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ht="15.75" customHeight="1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ht="15.75" customHeight="1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ht="15.75" customHeight="1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ht="15.75" customHeight="1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ht="15.75" customHeight="1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ht="15.75" customHeight="1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ht="15.75" customHeight="1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ht="15.75" customHeight="1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ht="15.75" customHeight="1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ht="15.75" customHeight="1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ht="15.75" customHeight="1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ht="15.75" customHeight="1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ht="15.75" customHeight="1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ht="15.75" customHeight="1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ht="15.75" customHeight="1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ht="15.75" customHeight="1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ht="15.75" customHeight="1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ht="15.75" customHeight="1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ht="15.75" customHeight="1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ht="15.75" customHeight="1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ht="15.75" customHeight="1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ht="15.75" customHeight="1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ht="15.75" customHeight="1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ht="15.75" customHeight="1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ht="15.75" customHeight="1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ht="15.75" customHeight="1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ht="15.75" customHeight="1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ht="15.75" customHeight="1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ht="15.75" customHeight="1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ht="15.75" customHeight="1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ht="15.75" customHeight="1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ht="15.75" customHeight="1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ht="15.75" customHeight="1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ht="15.75" customHeight="1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ht="15.75" customHeight="1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ht="15.75" customHeight="1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ht="15.75" customHeight="1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ht="15.75" customHeight="1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ht="15.75" customHeight="1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ht="15.75" customHeight="1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ht="15.75" customHeight="1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ht="15.75" customHeight="1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ht="15.75" customHeight="1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ht="15.75" customHeight="1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ht="15.75" customHeight="1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ht="15.75" customHeight="1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ht="15.75" customHeight="1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ht="15.75" customHeight="1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ht="15.75" customHeight="1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ht="15.75" customHeight="1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ht="15.75" customHeight="1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ht="15.75" customHeight="1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ht="15.75" customHeight="1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ht="15.75" customHeight="1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ht="15.75" customHeight="1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ht="15.75" customHeight="1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ht="15.75" customHeight="1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ht="15.75" customHeight="1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ht="15.75" customHeight="1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ht="15.75" customHeight="1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ht="15.75" customHeight="1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ht="15.75" customHeight="1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ht="15.75" customHeight="1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ht="15.75" customHeight="1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ht="15.75" customHeight="1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ht="15.75" customHeight="1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ht="15.75" customHeight="1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ht="15.75" customHeight="1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ht="15.75" customHeight="1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ht="15.75" customHeight="1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ht="15.75" customHeight="1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ht="15.75" customHeight="1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ht="15.75" customHeight="1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ht="15.75" customHeight="1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ht="15.75" customHeight="1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ht="15.75" customHeight="1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ht="15.75" customHeight="1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ht="15.75" customHeight="1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ht="15.75" customHeight="1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ht="15.75" customHeight="1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ht="15.75" customHeight="1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ht="15.75" customHeight="1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ht="15.75" customHeight="1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ht="15.75" customHeight="1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ht="15.75" customHeight="1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ht="15.75" customHeight="1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ht="15.75" customHeight="1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ht="15.75" customHeight="1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ht="15.75" customHeight="1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ht="15.75" customHeight="1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ht="15.75" customHeight="1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ht="15.75" customHeight="1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ht="15.75" customHeight="1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ht="15.75" customHeight="1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ht="15.75" customHeight="1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ht="15.75" customHeight="1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ht="15.75" customHeight="1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ht="15.75" customHeight="1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ht="15.75" customHeight="1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ht="15.75" customHeight="1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ht="15.75" customHeight="1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ht="15.75" customHeight="1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ht="15.75" customHeight="1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ht="15.75" customHeight="1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ht="15.75" customHeight="1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ht="15.75" customHeight="1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ht="15.75" customHeight="1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ht="15.75" customHeight="1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ht="15.75" customHeight="1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ht="15.75" customHeight="1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ht="15.75" customHeight="1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ht="15.75" customHeight="1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ht="15.75" customHeight="1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ht="15.75" customHeight="1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ht="15.75" customHeight="1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ht="15.75" customHeight="1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ht="15.75" customHeight="1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ht="15.75" customHeight="1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ht="15.75" customHeight="1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ht="15.75" customHeight="1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ht="15.75" customHeight="1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ht="15.75" customHeight="1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ht="15.75" customHeight="1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ht="15.75" customHeight="1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ht="15.75" customHeight="1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ht="15.75" customHeight="1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ht="15.75" customHeight="1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ht="15.75" customHeight="1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ht="15.75" customHeight="1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ht="15.75" customHeight="1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ht="15.75" customHeight="1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ht="15.75" customHeight="1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ht="15.75" customHeight="1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ht="15.75" customHeight="1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ht="15.75" customHeight="1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ht="15.75" customHeight="1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ht="15.75" customHeight="1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ht="15.75" customHeight="1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ht="15.75" customHeight="1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ht="15.75" customHeight="1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ht="15.75" customHeight="1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ht="15.75" customHeight="1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ht="15.75" customHeight="1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ht="15.75" customHeight="1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ht="15.75" customHeight="1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ht="15.75" customHeight="1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ht="15.75" customHeight="1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ht="15.75" customHeight="1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ht="15.75" customHeight="1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ht="15.75" customHeight="1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ht="15.75" customHeight="1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ht="15.75" customHeight="1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ht="15.75" customHeight="1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ht="15.75" customHeight="1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ht="15.75" customHeight="1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ht="15.75" customHeight="1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ht="15.75" customHeight="1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ht="15.75" customHeight="1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ht="15.75" customHeight="1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ht="15.75" customHeight="1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ht="15.75" customHeight="1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ht="15.75" customHeight="1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ht="15.75" customHeight="1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ht="15.75" customHeight="1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ht="15.75" customHeight="1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ht="15.75" customHeight="1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ht="15.75" customHeight="1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ht="15.75" customHeight="1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ht="15.75" customHeight="1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ht="15.75" customHeight="1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ht="15.75" customHeight="1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ht="15.75" customHeight="1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ht="15.75" customHeight="1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ht="15.75" customHeight="1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ht="15.75" customHeight="1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ht="15.75" customHeight="1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ht="15.75" customHeight="1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ht="15.75" customHeight="1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ht="15.75" customHeight="1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ht="15.75" customHeight="1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ht="15.75" customHeight="1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ht="15.75" customHeight="1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ht="15.75" customHeight="1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ht="15.75" customHeight="1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ht="15.75" customHeight="1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ht="15.75" customHeight="1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ht="15.75" customHeight="1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ht="15.75" customHeight="1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ht="15.75" customHeight="1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ht="15.75" customHeight="1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ht="15.75" customHeight="1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ht="15.75" customHeight="1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ht="15.75" customHeight="1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ht="15.75" customHeight="1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ht="15.75" customHeight="1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ht="15.75" customHeight="1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ht="15.75" customHeight="1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ht="15.75" customHeight="1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ht="15.75" customHeight="1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ht="15.75" customHeight="1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ht="15.75" customHeight="1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ht="15.75" customHeight="1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ht="15.75" customHeight="1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ht="15.75" customHeight="1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ht="15.75" customHeight="1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ht="15.75" customHeight="1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ht="15.75" customHeight="1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ht="15.75" customHeight="1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ht="15.75" customHeight="1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ht="15.75" customHeight="1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ht="15.75" customHeight="1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ht="15.75" customHeight="1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ht="15.75" customHeight="1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ht="15.75" customHeight="1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ht="15.75" customHeight="1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ht="15.75" customHeight="1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ht="15.75" customHeight="1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ht="15.75" customHeight="1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ht="15.75" customHeight="1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ht="15.75" customHeight="1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ht="15.75" customHeight="1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ht="15.75" customHeight="1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ht="15.75" customHeight="1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ht="15.75" customHeight="1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ht="15.75" customHeight="1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ht="15.75" customHeight="1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ht="15.75" customHeight="1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ht="15.75" customHeight="1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ht="15.75" customHeight="1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ht="15.75" customHeight="1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ht="15.75" customHeight="1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ht="15.75" customHeight="1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ht="15.75" customHeight="1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ht="15.75" customHeight="1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ht="15.75" customHeight="1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ht="15.75" customHeight="1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ht="15.75" customHeight="1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ht="15.75" customHeight="1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ht="15.75" customHeight="1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ht="15.75" customHeight="1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ht="15.75" customHeight="1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ht="15.75" customHeight="1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ht="15.75" customHeight="1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ht="15.75" customHeight="1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ht="15.75" customHeight="1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ht="15.75" customHeight="1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ht="15.75" customHeight="1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ht="15.75" customHeight="1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ht="15.75" customHeight="1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ht="15.75" customHeight="1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ht="15.75" customHeight="1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ht="15.75" customHeight="1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ht="15.75" customHeight="1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ht="15.75" customHeight="1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ht="15.75" customHeight="1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ht="15.75" customHeight="1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ht="15.75" customHeight="1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ht="15.75" customHeight="1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ht="15.75" customHeight="1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ht="15.75" customHeight="1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ht="15.75" customHeight="1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ht="15.75" customHeight="1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ht="15.75" customHeight="1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ht="15.75" customHeight="1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ht="15.75" customHeight="1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ht="15.75" customHeight="1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ht="15.75" customHeight="1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ht="15.75" customHeight="1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ht="15.75" customHeight="1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ht="15.75" customHeight="1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ht="15.75" customHeight="1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ht="15.75" customHeight="1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ht="15.75" customHeight="1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ht="15.75" customHeight="1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ht="15.75" customHeight="1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ht="15.75" customHeight="1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ht="15.75" customHeight="1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ht="15.75" customHeight="1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ht="15.75" customHeight="1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ht="15.75" customHeight="1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ht="15.75" customHeight="1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ht="15.75" customHeight="1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ht="15.75" customHeight="1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ht="15.75" customHeight="1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ht="15.75" customHeight="1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ht="15.75" customHeight="1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ht="15.75" customHeight="1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ht="15.75" customHeight="1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ht="15.75" customHeight="1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ht="15.75" customHeight="1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ht="15.75" customHeight="1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ht="15.75" customHeight="1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ht="15.75" customHeight="1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ht="15.75" customHeight="1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ht="15.75" customHeight="1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ht="15.75" customHeight="1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ht="15.75" customHeight="1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ht="15.75" customHeight="1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ht="15.75" customHeight="1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ht="15.75" customHeight="1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ht="15.75" customHeight="1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ht="15.75" customHeight="1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ht="15.75" customHeight="1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ht="15.75" customHeight="1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ht="15.75" customHeight="1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ht="15.75" customHeight="1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ht="15.75" customHeight="1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ht="15.75" customHeight="1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ht="15.75" customHeight="1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ht="15.75" customHeight="1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ht="15.75" customHeight="1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ht="15.75" customHeight="1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ht="15.75" customHeight="1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ht="15.75" customHeight="1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ht="15.75" customHeight="1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ht="15.75" customHeight="1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ht="15.75" customHeight="1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ht="15.75" customHeight="1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ht="15.75" customHeight="1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ht="15.75" customHeight="1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ht="15.75" customHeight="1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ht="15.75" customHeight="1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ht="15.75" customHeight="1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ht="15.75" customHeight="1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ht="15.75" customHeight="1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ht="15.75" customHeight="1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ht="15.75" customHeight="1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ht="15.75" customHeight="1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ht="15.75" customHeight="1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ht="15.75" customHeight="1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ht="15.75" customHeight="1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ht="15.75" customHeight="1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ht="15.75" customHeight="1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ht="15.75" customHeight="1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ht="15.75" customHeight="1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ht="15.75" customHeight="1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ht="15.75" customHeight="1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ht="15.75" customHeight="1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ht="15.75" customHeight="1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ht="15.75" customHeight="1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ht="15.75" customHeight="1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ht="15.75" customHeight="1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ht="15.75" customHeight="1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ht="15.75" customHeight="1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ht="15.75" customHeight="1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ht="15.75" customHeight="1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ht="15.75" customHeight="1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ht="15.75" customHeight="1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ht="15.75" customHeight="1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ht="15.75" customHeight="1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ht="15.75" customHeight="1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ht="15.75" customHeight="1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ht="15.75" customHeight="1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ht="15.75" customHeight="1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ht="15.75" customHeight="1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ht="15.75" customHeight="1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ht="15.75" customHeight="1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ht="15.75" customHeight="1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ht="15.75" customHeight="1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ht="15.75" customHeight="1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ht="15.75" customHeight="1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ht="15.75" customHeight="1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ht="15.75" customHeight="1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ht="15.75" customHeight="1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ht="15.75" customHeight="1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ht="15.75" customHeight="1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ht="15.75" customHeight="1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ht="15.75" customHeight="1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ht="15.75" customHeight="1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ht="15.75" customHeight="1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ht="15.75" customHeight="1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ht="15.75" customHeight="1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ht="15.75" customHeight="1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ht="15.75" customHeight="1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ht="15.75" customHeight="1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ht="15.75" customHeight="1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ht="15.75" customHeight="1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ht="15.75" customHeight="1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ht="15.75" customHeight="1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ht="15.75" customHeight="1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ht="15.75" customHeight="1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ht="15.75" customHeight="1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ht="15.75" customHeight="1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ht="15.75" customHeight="1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ht="15.75" customHeight="1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ht="15.75" customHeight="1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ht="15.75" customHeight="1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ht="15.75" customHeight="1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ht="15.75" customHeight="1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ht="15.75" customHeight="1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ht="15.75" customHeight="1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ht="15.75" customHeight="1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ht="15.75" customHeight="1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ht="15.75" customHeight="1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ht="15.75" customHeight="1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ht="15.75" customHeight="1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ht="15.75" customHeight="1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ht="15.75" customHeight="1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ht="15.75" customHeight="1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ht="15.75" customHeight="1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ht="15.75" customHeight="1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ht="15.75" customHeight="1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ht="15.75" customHeight="1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ht="15.75" customHeight="1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ht="15.75" customHeight="1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ht="15.75" customHeight="1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ht="15.75" customHeight="1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ht="15.75" customHeight="1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ht="15.75" customHeight="1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ht="15.75" customHeight="1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ht="15.75" customHeight="1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ht="15.75" customHeight="1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ht="15.75" customHeight="1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ht="15.75" customHeight="1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ht="15.75" customHeight="1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ht="15.75" customHeight="1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ht="15.75" customHeight="1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ht="15.75" customHeight="1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ht="15.75" customHeight="1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ht="15.75" customHeight="1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ht="15.75" customHeight="1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ht="15.75" customHeight="1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ht="15.75" customHeight="1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ht="15.75" customHeight="1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ht="15.75" customHeight="1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ht="15.75" customHeight="1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ht="15.75" customHeight="1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ht="15.75" customHeight="1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ht="15.75" customHeight="1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ht="15.75" customHeight="1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ht="15.75" customHeight="1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ht="15.75" customHeight="1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ht="15.75" customHeight="1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ht="15.75" customHeight="1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ht="15.75" customHeight="1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ht="15.75" customHeight="1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ht="15.75" customHeight="1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ht="15.75" customHeight="1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ht="15.75" customHeight="1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ht="15.75" customHeight="1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ht="15.75" customHeight="1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ht="15.75" customHeight="1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ht="15.75" customHeight="1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ht="15.75" customHeight="1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ht="15.75" customHeight="1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ht="15.75" customHeight="1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ht="15.75" customHeight="1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ht="15.75" customHeight="1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ht="15.75" customHeight="1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ht="15.75" customHeight="1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ht="15.75" customHeight="1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ht="15.75" customHeight="1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ht="15.75" customHeight="1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ht="15.75" customHeight="1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ht="15.75" customHeight="1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ht="15.75" customHeight="1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ht="15.75" customHeight="1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ht="15.75" customHeight="1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ht="15.75" customHeight="1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ht="15.75" customHeight="1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ht="15.75" customHeight="1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ht="15.75" customHeight="1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ht="15.75" customHeight="1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ht="15.75" customHeight="1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ht="15.75" customHeight="1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ht="15.75" customHeight="1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ht="15.75" customHeight="1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ht="15.75" customHeight="1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ht="15.75" customHeight="1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ht="15.75" customHeight="1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ht="15.75" customHeight="1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ht="15.75" customHeight="1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ht="15.75" customHeight="1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ht="15.75" customHeight="1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ht="15.75" customHeight="1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ht="15.75" customHeight="1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ht="15.75" customHeight="1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ht="15.75" customHeight="1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ht="15.75" customHeight="1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ht="15.75" customHeight="1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ht="15.75" customHeight="1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ht="15.75" customHeight="1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ht="15.75" customHeight="1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ht="15.75" customHeight="1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ht="15.75" customHeight="1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ht="15.75" customHeight="1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ht="15.75" customHeight="1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ht="15.75" customHeight="1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ht="15.75" customHeight="1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ht="15.75" customHeight="1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ht="15.75" customHeight="1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ht="15.75" customHeight="1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ht="15.75" customHeight="1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ht="15.75" customHeight="1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ht="15.75" customHeight="1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ht="15.75" customHeight="1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ht="15.75" customHeight="1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ht="15.75" customHeight="1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ht="15.75" customHeight="1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ht="15.75" customHeight="1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ht="15.75" customHeight="1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ht="15.75" customHeight="1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ht="15.75" customHeight="1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ht="15.75" customHeight="1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ht="15.75" customHeight="1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ht="15.75" customHeight="1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ht="15.75" customHeight="1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ht="15.75" customHeight="1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ht="15.75" customHeight="1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ht="15.75" customHeight="1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ht="15.75" customHeight="1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ht="15.75" customHeight="1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ht="15.75" customHeight="1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ht="15.75" customHeight="1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ht="15.75" customHeight="1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ht="15.75" customHeight="1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ht="15.75" customHeight="1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ht="15.75" customHeight="1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ht="15.75" customHeight="1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ht="15.75" customHeight="1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ht="15.75" customHeight="1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ht="15.75" customHeight="1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ht="15.75" customHeight="1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ht="15.75" customHeight="1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ht="15.75" customHeight="1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ht="15.75" customHeight="1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ht="15.75" customHeight="1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ht="15.75" customHeight="1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ht="15.75" customHeight="1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ht="15.75" customHeight="1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ht="15.75" customHeight="1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ht="15.75" customHeight="1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ht="15.75" customHeight="1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ht="15.75" customHeight="1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ht="15.75" customHeight="1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ht="15.75" customHeight="1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ht="15.75" customHeight="1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ht="15.75" customHeight="1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ht="15.75" customHeight="1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ht="15.75" customHeight="1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ht="15.75" customHeight="1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ht="15.75" customHeight="1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ht="15.75" customHeight="1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ht="15.75" customHeight="1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ht="15.75" customHeight="1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ht="15.75" customHeight="1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ht="15.75" customHeight="1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ht="15.75" customHeight="1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ht="15.75" customHeight="1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ht="15.75" customHeight="1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ht="15.75" customHeight="1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ht="15.75" customHeight="1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ht="15.75" customHeight="1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ht="15.75" customHeight="1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ht="15.75" customHeight="1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ht="15.75" customHeight="1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ht="15.75" customHeight="1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ht="15.75" customHeight="1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ht="15.75" customHeight="1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ht="15.75" customHeight="1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ht="15.75" customHeight="1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ht="15.75" customHeight="1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ht="15.75" customHeight="1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ht="15.75" customHeight="1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ht="15.75" customHeight="1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ht="15.75" customHeight="1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ht="15.75" customHeight="1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ht="15.75" customHeight="1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ht="15.75" customHeight="1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ht="15.75" customHeight="1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ht="15.75" customHeight="1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ht="15.75" customHeight="1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ht="15.75" customHeight="1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ht="15.75" customHeight="1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ht="15.75" customHeight="1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ht="15.75" customHeight="1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ht="15.75" customHeight="1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ht="15.75" customHeight="1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ht="15.75" customHeight="1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ht="15.75" customHeight="1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ht="15.75" customHeight="1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ht="15.75" customHeight="1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ht="15.75" customHeight="1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ht="15.75" customHeight="1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ht="15.75" customHeight="1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ht="15.75" customHeight="1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ht="15.75" customHeight="1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ht="15.75" customHeight="1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ht="15.75" customHeight="1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ht="15.75" customHeight="1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ht="15.75" customHeight="1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ht="15.75" customHeight="1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ht="15.75" customHeight="1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ht="15.75" customHeight="1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ht="15.75" customHeight="1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ht="15.75" customHeight="1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ht="15.75" customHeight="1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ht="15.75" customHeight="1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ht="15.75" customHeight="1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ht="15.75" customHeight="1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ht="15.75" customHeight="1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ht="15.75" customHeight="1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ht="15.75" customHeight="1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ht="15.75" customHeight="1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ht="15.75" customHeight="1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ht="15.75" customHeight="1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ht="15.75" customHeight="1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ht="15.75" customHeight="1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ht="15.75" customHeight="1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ht="15.75" customHeight="1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ht="15.75" customHeight="1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ht="15.75" customHeight="1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ht="15.75" customHeight="1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ht="15.75" customHeight="1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ht="15.75" customHeight="1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ht="15.75" customHeight="1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ht="15.75" customHeight="1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ht="15.75" customHeight="1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ht="15.75" customHeight="1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ht="15.75" customHeight="1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ht="15.75" customHeight="1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ht="15.75" customHeight="1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ht="15.75" customHeight="1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ht="15.75" customHeight="1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ht="15.75" customHeight="1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ht="15.75" customHeight="1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ht="15.75" customHeight="1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ht="15.75" customHeight="1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ht="15.75" customHeight="1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ht="15.75" customHeight="1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ht="15.75" customHeight="1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ht="15.75" customHeight="1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ht="15.75" customHeight="1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ht="15.75" customHeight="1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ht="15.75" customHeight="1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ht="15.75" customHeight="1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ht="15.75" customHeight="1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ht="15.75" customHeight="1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ht="15.75" customHeight="1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ht="15.75" customHeight="1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ht="15.75" customHeight="1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ht="15.75" customHeight="1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ht="15.75" customHeight="1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ht="15.75" customHeight="1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ht="15.75" customHeight="1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ht="15.75" customHeight="1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ht="15.75" customHeight="1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ht="15.75" customHeight="1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ht="15.75" customHeight="1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ht="15.75" customHeight="1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ht="15.75" customHeight="1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ht="15.75" customHeight="1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ht="15.75" customHeight="1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ht="15.75" customHeight="1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ht="15.75" customHeight="1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ht="15.75" customHeight="1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ht="15.75" customHeight="1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ht="15.75" customHeight="1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ht="15.75" customHeight="1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ht="15.75" customHeight="1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ht="15.75" customHeight="1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ht="15.75" customHeight="1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ht="15.75" customHeight="1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ht="15.75" customHeight="1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ht="15.75" customHeight="1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ht="15.75" customHeight="1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ht="15.75" customHeight="1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ht="15.75" customHeight="1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ht="15.75" customHeight="1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ht="15.75" customHeight="1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ht="15.75" customHeight="1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ht="15.75" customHeight="1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ht="15.75" customHeight="1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ht="15.75" customHeight="1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ht="15.75" customHeight="1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ht="15.75" customHeight="1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ht="15.75" customHeight="1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ht="15.75" customHeight="1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ht="15.75" customHeight="1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ht="15.75" customHeight="1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ht="15.75" customHeight="1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ht="15.75" customHeight="1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ht="15.75" customHeight="1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ht="15.75" customHeight="1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ht="15.75" customHeight="1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ht="15.75" customHeight="1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ht="15.75" customHeight="1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ht="15.75" customHeight="1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ht="15.75" customHeight="1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ht="15.75" customHeight="1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ht="15.75" customHeight="1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ht="15.75" customHeight="1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ht="15.75" customHeight="1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ht="15.75" customHeight="1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ht="15.75" customHeight="1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ht="15.75" customHeight="1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ht="15.75" customHeight="1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ht="15.75" customHeight="1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ht="15.75" customHeight="1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ht="15.75" customHeight="1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ht="15.75" customHeight="1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ht="15.75" customHeight="1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ht="15.75" customHeight="1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ht="15.75" customHeight="1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ht="15.75" customHeight="1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ht="15.75" customHeight="1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ht="15.75" customHeight="1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ht="15.75" customHeight="1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ht="15.75" customHeight="1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ht="15.75" customHeight="1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ht="15.75" customHeight="1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ht="15.75" customHeight="1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ht="15.75" customHeight="1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ht="15.75" customHeight="1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ht="15.75" customHeight="1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ht="15.75" customHeight="1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ht="15.75" customHeight="1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ht="15.75" customHeight="1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ht="15.75" customHeight="1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ht="15.75" customHeight="1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ht="15.75" customHeight="1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ht="15.75" customHeight="1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ht="15.75" customHeight="1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ht="15.75" customHeight="1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ht="15.75" customHeight="1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ht="15.75" customHeight="1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ht="15.75" customHeight="1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ht="15.75" customHeight="1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ht="15.75" customHeight="1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ht="15.75" customHeight="1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ht="15.75" customHeight="1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ht="15.75" customHeight="1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ht="15.75" customHeight="1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ht="15.75" customHeight="1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ht="15.75" customHeight="1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ht="15.75" customHeight="1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ht="15.75" customHeight="1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ht="15.75" customHeight="1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ht="15.75" customHeight="1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ht="15.75" customHeight="1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ht="15.75" customHeight="1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ht="15.75" customHeight="1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ht="15.75" customHeight="1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ht="15.75" customHeight="1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ht="15.75" customHeight="1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ht="15.75" customHeight="1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ht="15.75" customHeight="1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ht="15.75" customHeight="1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ht="15.75" customHeight="1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ht="15.75" customHeight="1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ht="15.75" customHeight="1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ht="15.75" customHeight="1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ht="15.75" customHeight="1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ht="15.75" customHeight="1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ht="15.75" customHeight="1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ht="15.75" customHeight="1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ht="15.75" customHeight="1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ht="15.75" customHeight="1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ht="15.75" customHeight="1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ht="15.75" customHeight="1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ht="15.75" customHeight="1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ht="15.75" customHeight="1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ht="15.75" customHeight="1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ht="15.75" customHeight="1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ht="15.75" customHeight="1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ht="15.75" customHeight="1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ht="15.75" customHeight="1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ht="15.75" customHeight="1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ht="15.75" customHeight="1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ht="15.75" customHeight="1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ht="15.75" customHeight="1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ht="15.75" customHeight="1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ht="15.75" customHeight="1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ht="15.75" customHeight="1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ht="15.75" customHeight="1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ht="15.75" customHeight="1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ht="15.75" customHeight="1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ht="15.75" customHeight="1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ht="15.75" customHeight="1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ht="15.75" customHeight="1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ht="15.75" customHeight="1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ht="15.75" customHeight="1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ht="15.75" customHeight="1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ht="15.75" customHeight="1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ht="15.75" customHeight="1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ht="15.75" customHeight="1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ht="15.75" customHeight="1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ht="15.75" customHeight="1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ht="15.75" customHeight="1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ht="15.75" customHeight="1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ht="15.75" customHeight="1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ht="15.75" customHeight="1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ht="15.75" customHeight="1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ht="15.75" customHeight="1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ht="15.75" customHeight="1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ht="15.75" customHeight="1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ht="15.75" customHeight="1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ht="15.75" customHeight="1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</sheetData>
  <mergeCells count="13">
    <mergeCell ref="K9:K12"/>
    <mergeCell ref="P9:P12"/>
    <mergeCell ref="U9:U12"/>
    <mergeCell ref="A9:A12"/>
    <mergeCell ref="A24:B24"/>
    <mergeCell ref="A1:J1"/>
    <mergeCell ref="A2:J2"/>
    <mergeCell ref="A4:C4"/>
    <mergeCell ref="A5:C5"/>
    <mergeCell ref="A6:C6"/>
    <mergeCell ref="F9:F12"/>
    <mergeCell ref="E16:I29"/>
    <mergeCell ref="A25:B25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30" width="18.71"/>
  </cols>
  <sheetData>
    <row r="1">
      <c r="A1" s="37" t="s">
        <v>117</v>
      </c>
      <c r="B1" s="2"/>
      <c r="C1" s="2"/>
      <c r="D1" s="2"/>
      <c r="E1" s="2"/>
      <c r="F1" s="2"/>
      <c r="G1" s="2"/>
      <c r="H1" s="2"/>
      <c r="I1" s="2"/>
      <c r="J1" s="2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38"/>
      <c r="W1" s="38"/>
      <c r="X1" s="38"/>
      <c r="Y1" s="38"/>
      <c r="Z1" s="38"/>
      <c r="AA1" s="38"/>
      <c r="AB1" s="38"/>
      <c r="AC1" s="38"/>
      <c r="AD1" s="38"/>
    </row>
    <row r="2" ht="54.75" customHeight="1">
      <c r="A2" s="39" t="s">
        <v>118</v>
      </c>
      <c r="B2" s="5"/>
      <c r="C2" s="5"/>
      <c r="D2" s="5"/>
      <c r="E2" s="5"/>
      <c r="F2" s="5"/>
      <c r="G2" s="5"/>
      <c r="H2" s="5"/>
      <c r="I2" s="5"/>
      <c r="J2" s="5"/>
      <c r="K2" s="40"/>
      <c r="L2" s="40"/>
      <c r="M2" s="40"/>
      <c r="N2" s="40"/>
      <c r="O2" s="40"/>
      <c r="P2" s="41"/>
      <c r="Q2" s="41"/>
      <c r="R2" s="41"/>
      <c r="S2" s="41"/>
      <c r="T2" s="41"/>
      <c r="U2" s="38"/>
      <c r="V2" s="38"/>
      <c r="W2" s="38"/>
      <c r="X2" s="38"/>
      <c r="Y2" s="38"/>
      <c r="Z2" s="38"/>
      <c r="AA2" s="38"/>
      <c r="AB2" s="38"/>
      <c r="AC2" s="38"/>
      <c r="AD2" s="38"/>
    </row>
    <row r="3" ht="19.5" customHeight="1">
      <c r="A3" s="42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2"/>
      <c r="V3" s="42"/>
      <c r="W3" s="42"/>
      <c r="X3" s="42"/>
      <c r="Y3" s="42"/>
      <c r="Z3" s="42"/>
      <c r="AA3" s="42"/>
      <c r="AB3" s="42"/>
      <c r="AC3" s="42"/>
      <c r="AD3" s="42"/>
    </row>
    <row r="4" ht="19.5" customHeight="1">
      <c r="A4" s="44" t="s">
        <v>119</v>
      </c>
      <c r="B4" s="5"/>
      <c r="C4" s="8"/>
      <c r="D4" s="45"/>
      <c r="E4" s="42"/>
      <c r="F4" s="42"/>
      <c r="G4" s="46"/>
      <c r="H4" s="42"/>
      <c r="I4" s="42"/>
      <c r="J4" s="42"/>
      <c r="K4" s="43"/>
      <c r="L4" s="43"/>
      <c r="M4" s="43"/>
      <c r="N4" s="43"/>
      <c r="O4" s="43"/>
      <c r="P4" s="43"/>
      <c r="Q4" s="43"/>
      <c r="R4" s="43"/>
      <c r="S4" s="43"/>
      <c r="T4" s="43"/>
      <c r="U4" s="42"/>
      <c r="V4" s="42"/>
      <c r="W4" s="42"/>
      <c r="X4" s="42"/>
      <c r="Y4" s="42"/>
      <c r="Z4" s="42"/>
      <c r="AA4" s="42"/>
      <c r="AB4" s="42"/>
      <c r="AC4" s="42"/>
      <c r="AD4" s="42"/>
    </row>
    <row r="5" ht="19.5" customHeight="1">
      <c r="A5" s="47" t="s">
        <v>120</v>
      </c>
      <c r="B5" s="5"/>
      <c r="C5" s="8"/>
      <c r="D5" s="48"/>
      <c r="E5" s="42"/>
      <c r="F5" s="42"/>
      <c r="G5" s="49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</row>
    <row r="6" ht="19.5" customHeight="1">
      <c r="A6" s="50" t="s">
        <v>121</v>
      </c>
      <c r="B6" s="5"/>
      <c r="C6" s="8"/>
      <c r="D6" s="48"/>
      <c r="E6" s="42"/>
      <c r="F6" s="42"/>
      <c r="G6" s="49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</row>
    <row r="7" ht="23.25" customHeight="1">
      <c r="A7" s="42"/>
      <c r="B7" s="42"/>
      <c r="C7" s="42"/>
      <c r="D7" s="51"/>
      <c r="E7" s="42"/>
      <c r="F7" s="46"/>
      <c r="G7" s="46"/>
      <c r="H7" s="46"/>
      <c r="I7" s="46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</row>
    <row r="8" ht="57.0" customHeight="1">
      <c r="A8" s="42"/>
      <c r="B8" s="42"/>
      <c r="C8" s="52" t="s">
        <v>122</v>
      </c>
      <c r="D8" s="42"/>
      <c r="E8" s="53"/>
      <c r="F8" s="42"/>
      <c r="G8" s="42"/>
      <c r="H8" s="52" t="s">
        <v>123</v>
      </c>
      <c r="I8" s="42"/>
      <c r="J8" s="53"/>
      <c r="K8" s="42"/>
      <c r="L8" s="42"/>
      <c r="M8" s="52" t="s">
        <v>124</v>
      </c>
      <c r="N8" s="42"/>
      <c r="O8" s="53"/>
      <c r="P8" s="42"/>
      <c r="Q8" s="42"/>
      <c r="R8" s="52" t="s">
        <v>125</v>
      </c>
      <c r="S8" s="42"/>
      <c r="T8" s="53"/>
      <c r="U8" s="42"/>
      <c r="V8" s="42"/>
      <c r="W8" s="52" t="s">
        <v>126</v>
      </c>
      <c r="X8" s="42"/>
      <c r="Y8" s="53"/>
      <c r="Z8" s="42"/>
      <c r="AA8" s="42"/>
      <c r="AB8" s="52" t="s">
        <v>127</v>
      </c>
      <c r="AC8" s="42"/>
      <c r="AD8" s="53"/>
    </row>
    <row r="9" ht="21.0" customHeight="1">
      <c r="A9" s="54" t="s">
        <v>128</v>
      </c>
      <c r="B9" s="55" t="s">
        <v>95</v>
      </c>
      <c r="C9" s="55"/>
      <c r="D9" s="56"/>
      <c r="E9" s="57"/>
      <c r="F9" s="54" t="s">
        <v>129</v>
      </c>
      <c r="G9" s="55" t="s">
        <v>95</v>
      </c>
      <c r="H9" s="55"/>
      <c r="I9" s="56"/>
      <c r="J9" s="57"/>
      <c r="K9" s="54" t="s">
        <v>130</v>
      </c>
      <c r="L9" s="55" t="s">
        <v>95</v>
      </c>
      <c r="M9" s="55"/>
      <c r="N9" s="56"/>
      <c r="O9" s="57"/>
      <c r="P9" s="54" t="s">
        <v>131</v>
      </c>
      <c r="Q9" s="55" t="s">
        <v>95</v>
      </c>
      <c r="R9" s="55"/>
      <c r="S9" s="56"/>
      <c r="T9" s="57"/>
      <c r="U9" s="54" t="s">
        <v>132</v>
      </c>
      <c r="V9" s="55" t="s">
        <v>95</v>
      </c>
      <c r="W9" s="55"/>
      <c r="X9" s="56"/>
      <c r="Y9" s="57"/>
      <c r="Z9" s="54" t="s">
        <v>133</v>
      </c>
      <c r="AA9" s="55" t="s">
        <v>95</v>
      </c>
      <c r="AB9" s="55"/>
      <c r="AC9" s="56"/>
      <c r="AD9" s="57"/>
    </row>
    <row r="10" ht="21.0" customHeight="1">
      <c r="A10" s="58"/>
      <c r="B10" s="55" t="s">
        <v>100</v>
      </c>
      <c r="C10" s="55"/>
      <c r="D10" s="56"/>
      <c r="E10" s="57"/>
      <c r="F10" s="58"/>
      <c r="G10" s="55" t="s">
        <v>100</v>
      </c>
      <c r="H10" s="55"/>
      <c r="I10" s="56"/>
      <c r="J10" s="57"/>
      <c r="K10" s="58"/>
      <c r="L10" s="55" t="s">
        <v>100</v>
      </c>
      <c r="M10" s="55"/>
      <c r="N10" s="56"/>
      <c r="O10" s="57"/>
      <c r="P10" s="58"/>
      <c r="Q10" s="55" t="s">
        <v>100</v>
      </c>
      <c r="R10" s="55"/>
      <c r="S10" s="56"/>
      <c r="T10" s="57"/>
      <c r="U10" s="58"/>
      <c r="V10" s="55" t="s">
        <v>100</v>
      </c>
      <c r="W10" s="55"/>
      <c r="X10" s="56"/>
      <c r="Y10" s="57"/>
      <c r="Z10" s="58"/>
      <c r="AA10" s="55" t="s">
        <v>100</v>
      </c>
      <c r="AB10" s="55"/>
      <c r="AC10" s="56"/>
      <c r="AD10" s="57"/>
    </row>
    <row r="11" ht="21.0" customHeight="1">
      <c r="A11" s="58"/>
      <c r="B11" s="55" t="s">
        <v>101</v>
      </c>
      <c r="C11" s="55" t="str">
        <f>IF(C9&lt;&gt;"",AVERAGE(C9:C10),"")</f>
        <v/>
      </c>
      <c r="D11" s="56"/>
      <c r="E11" s="57"/>
      <c r="F11" s="58"/>
      <c r="G11" s="55" t="s">
        <v>101</v>
      </c>
      <c r="H11" s="55" t="str">
        <f>IF(H9&lt;&gt;"",AVERAGE(H9:H10),"")</f>
        <v/>
      </c>
      <c r="I11" s="56"/>
      <c r="J11" s="57"/>
      <c r="K11" s="58"/>
      <c r="L11" s="55" t="s">
        <v>101</v>
      </c>
      <c r="M11" s="55" t="str">
        <f>IF(M9&lt;&gt;"",AVERAGE(M9:M10),"")</f>
        <v/>
      </c>
      <c r="N11" s="56"/>
      <c r="O11" s="57"/>
      <c r="P11" s="58"/>
      <c r="Q11" s="55" t="s">
        <v>101</v>
      </c>
      <c r="R11" s="55" t="str">
        <f>IF(R9&lt;&gt;"",AVERAGE(R9:R10),"")</f>
        <v/>
      </c>
      <c r="S11" s="56"/>
      <c r="T11" s="57"/>
      <c r="U11" s="58"/>
      <c r="V11" s="55" t="s">
        <v>101</v>
      </c>
      <c r="W11" s="55" t="str">
        <f>IF(W9&lt;&gt;"",AVERAGE(W9:W10),"")</f>
        <v/>
      </c>
      <c r="X11" s="56"/>
      <c r="Y11" s="57"/>
      <c r="Z11" s="58"/>
      <c r="AA11" s="55" t="s">
        <v>101</v>
      </c>
      <c r="AB11" s="55" t="str">
        <f>IF(AB9&lt;&gt;"",AVERAGE(AB9:AB10),"")</f>
        <v/>
      </c>
      <c r="AC11" s="56"/>
      <c r="AD11" s="57"/>
    </row>
    <row r="12" ht="56.25" customHeight="1">
      <c r="A12" s="59"/>
      <c r="B12" s="60"/>
      <c r="C12" s="52" t="s">
        <v>134</v>
      </c>
      <c r="D12" s="61" t="s">
        <v>135</v>
      </c>
      <c r="E12" s="57"/>
      <c r="F12" s="59"/>
      <c r="G12" s="60"/>
      <c r="H12" s="52" t="s">
        <v>136</v>
      </c>
      <c r="I12" s="61" t="s">
        <v>137</v>
      </c>
      <c r="J12" s="57"/>
      <c r="K12" s="59"/>
      <c r="L12" s="60"/>
      <c r="M12" s="52" t="s">
        <v>138</v>
      </c>
      <c r="N12" s="61" t="s">
        <v>139</v>
      </c>
      <c r="O12" s="57"/>
      <c r="P12" s="59"/>
      <c r="Q12" s="60"/>
      <c r="R12" s="52" t="s">
        <v>140</v>
      </c>
      <c r="S12" s="61" t="s">
        <v>141</v>
      </c>
      <c r="T12" s="57"/>
      <c r="U12" s="59"/>
      <c r="V12" s="60"/>
      <c r="W12" s="52" t="s">
        <v>142</v>
      </c>
      <c r="X12" s="61" t="s">
        <v>143</v>
      </c>
      <c r="Y12" s="57"/>
      <c r="Z12" s="59"/>
      <c r="AA12" s="60"/>
      <c r="AB12" s="52" t="s">
        <v>144</v>
      </c>
      <c r="AC12" s="61" t="s">
        <v>145</v>
      </c>
      <c r="AD12" s="57"/>
    </row>
    <row r="13" ht="23.25" customHeight="1">
      <c r="A13" s="56"/>
      <c r="B13" s="56"/>
      <c r="C13" s="61"/>
      <c r="D13" s="61"/>
      <c r="E13" s="57"/>
      <c r="F13" s="56"/>
      <c r="G13" s="56"/>
      <c r="H13" s="61"/>
      <c r="I13" s="61"/>
      <c r="J13" s="57"/>
      <c r="K13" s="56"/>
      <c r="L13" s="56"/>
      <c r="M13" s="61" t="str">
        <f>IF(M11&lt;&gt;"",M11*PI()/180,"")</f>
        <v/>
      </c>
      <c r="N13" s="61"/>
      <c r="O13" s="57"/>
      <c r="P13" s="56"/>
      <c r="Q13" s="56"/>
      <c r="R13" s="61" t="str">
        <f>IF(R11&lt;&gt;"",R11*PI()/180,"")</f>
        <v/>
      </c>
      <c r="S13" s="61"/>
      <c r="T13" s="57"/>
      <c r="U13" s="56"/>
      <c r="V13" s="56"/>
      <c r="W13" s="61" t="str">
        <f>IF(W11&lt;&gt;"",W11*PI()/180,"")</f>
        <v/>
      </c>
      <c r="X13" s="61"/>
      <c r="Y13" s="57"/>
      <c r="Z13" s="56"/>
      <c r="AA13" s="56"/>
      <c r="AB13" s="61" t="str">
        <f>IF(AB11&lt;&gt;"",AB11*PI()/180,"")</f>
        <v/>
      </c>
      <c r="AC13" s="61"/>
      <c r="AD13" s="57"/>
    </row>
    <row r="14" ht="21.0" customHeight="1">
      <c r="A14" s="42"/>
      <c r="B14" s="42"/>
      <c r="C14" s="42"/>
      <c r="D14" s="69"/>
      <c r="E14" s="57"/>
      <c r="F14" s="57"/>
      <c r="G14" s="57"/>
      <c r="H14" s="57"/>
      <c r="I14" s="57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</row>
    <row r="15" ht="21.0" customHeight="1">
      <c r="A15" s="42"/>
      <c r="B15" s="63"/>
      <c r="C15" s="63"/>
      <c r="D15" s="3"/>
      <c r="E15" s="46"/>
      <c r="F15" s="46"/>
      <c r="G15" s="46"/>
      <c r="H15" s="46"/>
      <c r="I15" s="46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</row>
    <row r="16" ht="48.0" customHeight="1">
      <c r="A16" s="42"/>
      <c r="B16" s="52" t="s">
        <v>146</v>
      </c>
      <c r="C16" s="61" t="s">
        <v>147</v>
      </c>
      <c r="D16" s="42"/>
      <c r="E16" s="66" t="s">
        <v>114</v>
      </c>
      <c r="F16" s="21"/>
      <c r="G16" s="21"/>
      <c r="H16" s="21"/>
      <c r="I16" s="2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</row>
    <row r="17" ht="21.0" customHeight="1">
      <c r="A17" s="42"/>
      <c r="B17" s="61">
        <f>0</f>
        <v>0</v>
      </c>
      <c r="C17" s="61" t="str">
        <f>IF(D$13&lt;&gt;"",D$13,"")</f>
        <v/>
      </c>
      <c r="D17" s="53"/>
      <c r="E17" s="67"/>
      <c r="I17" s="3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</row>
    <row r="18" ht="21.0" customHeight="1">
      <c r="A18" s="42"/>
      <c r="B18" s="61">
        <f>2*0.06</f>
        <v>0.12</v>
      </c>
      <c r="C18" s="61" t="str">
        <f>IF(I$13&lt;&gt;"",I$13,"")</f>
        <v/>
      </c>
      <c r="D18" s="53"/>
      <c r="E18" s="67"/>
      <c r="I18" s="3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</row>
    <row r="19" ht="21.0" customHeight="1">
      <c r="A19" s="42"/>
      <c r="B19" s="61">
        <f>2*0.07</f>
        <v>0.14</v>
      </c>
      <c r="C19" s="61" t="str">
        <f>IF(N$13&lt;&gt;"",N$13,"")</f>
        <v/>
      </c>
      <c r="D19" s="53"/>
      <c r="E19" s="67"/>
      <c r="I19" s="3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</row>
    <row r="20" ht="21.0" customHeight="1">
      <c r="A20" s="42"/>
      <c r="B20" s="61">
        <f>2*0.08</f>
        <v>0.16</v>
      </c>
      <c r="C20" s="61" t="str">
        <f>IF(S$13&lt;&gt;"",S$13,"")</f>
        <v/>
      </c>
      <c r="D20" s="53"/>
      <c r="E20" s="67"/>
      <c r="I20" s="3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</row>
    <row r="21" ht="21.0" customHeight="1">
      <c r="A21" s="42"/>
      <c r="B21" s="61">
        <f>2*0.09</f>
        <v>0.18</v>
      </c>
      <c r="C21" s="61" t="str">
        <f>IF(X$13&lt;&gt;"",X$13,"")</f>
        <v/>
      </c>
      <c r="D21" s="53"/>
      <c r="E21" s="67"/>
      <c r="I21" s="3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</row>
    <row r="22" ht="21.0" customHeight="1">
      <c r="A22" s="42"/>
      <c r="B22" s="61">
        <f>2*0.1</f>
        <v>0.2</v>
      </c>
      <c r="C22" s="61" t="str">
        <f>IF(AC$13&lt;&gt;"",AC$13,"")</f>
        <v/>
      </c>
      <c r="D22" s="53"/>
      <c r="E22" s="67"/>
      <c r="I22" s="3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</row>
    <row r="23" ht="21.0" customHeight="1">
      <c r="A23" s="42"/>
      <c r="B23" s="42"/>
      <c r="C23" s="42"/>
      <c r="D23" s="42"/>
      <c r="E23" s="67"/>
      <c r="I23" s="3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</row>
    <row r="24" ht="21.0" customHeight="1">
      <c r="A24" s="42"/>
      <c r="B24" s="42"/>
      <c r="C24" s="42"/>
      <c r="D24" s="42"/>
      <c r="E24" s="67"/>
      <c r="I24" s="3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</row>
    <row r="25" ht="21.0" customHeight="1">
      <c r="A25" s="60" t="s">
        <v>115</v>
      </c>
      <c r="B25" s="8"/>
      <c r="C25" s="68"/>
      <c r="D25" s="42"/>
      <c r="E25" s="67"/>
      <c r="I25" s="3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</row>
    <row r="26" ht="21.0" customHeight="1">
      <c r="A26" s="60" t="s">
        <v>116</v>
      </c>
      <c r="B26" s="8"/>
      <c r="C26" s="68"/>
      <c r="D26" s="42"/>
      <c r="E26" s="67"/>
      <c r="I26" s="3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</row>
    <row r="27" ht="21.0" customHeight="1">
      <c r="A27" s="42"/>
      <c r="B27" s="42"/>
      <c r="C27" s="42"/>
      <c r="D27" s="42"/>
      <c r="E27" s="67"/>
      <c r="I27" s="3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</row>
    <row r="28" ht="21.0" customHeight="1">
      <c r="A28" s="42"/>
      <c r="B28" s="42"/>
      <c r="C28" s="42"/>
      <c r="D28" s="42"/>
      <c r="E28" s="67"/>
      <c r="I28" s="3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</row>
    <row r="29" ht="21.0" customHeight="1">
      <c r="A29" s="42"/>
      <c r="B29" s="42"/>
      <c r="C29" s="42"/>
      <c r="D29" s="42"/>
      <c r="E29" s="24"/>
      <c r="F29" s="2"/>
      <c r="G29" s="2"/>
      <c r="H29" s="2"/>
      <c r="I29" s="25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</row>
    <row r="30" ht="21.0" customHeight="1">
      <c r="A30" s="42"/>
      <c r="B30" s="42"/>
      <c r="C30" s="42"/>
      <c r="D30" s="42"/>
      <c r="E30" s="3"/>
      <c r="F30" s="3"/>
      <c r="G30" s="3"/>
      <c r="H30" s="3"/>
      <c r="I30" s="3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</row>
    <row r="31" ht="21.0" customHeight="1">
      <c r="A31" s="42"/>
      <c r="B31" s="42"/>
      <c r="C31" s="42"/>
      <c r="D31" s="42"/>
      <c r="E31" s="3"/>
      <c r="F31" s="3"/>
      <c r="G31" s="3"/>
      <c r="H31" s="3"/>
      <c r="I31" s="3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</row>
    <row r="32" ht="21.0" customHeight="1">
      <c r="A32" s="42"/>
      <c r="B32" s="42"/>
      <c r="C32" s="42"/>
      <c r="D32" s="42"/>
      <c r="E32" s="3"/>
      <c r="F32" s="3"/>
      <c r="G32" s="3"/>
      <c r="H32" s="3"/>
      <c r="I32" s="3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</row>
    <row r="33" ht="21.0" customHeight="1">
      <c r="A33" s="42"/>
      <c r="B33" s="42"/>
      <c r="C33" s="42"/>
      <c r="D33" s="42"/>
      <c r="E33" s="3"/>
      <c r="F33" s="3"/>
      <c r="G33" s="3"/>
      <c r="H33" s="3"/>
      <c r="I33" s="3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</row>
    <row r="34" ht="21.0" customHeight="1">
      <c r="A34" s="42"/>
      <c r="B34" s="42"/>
      <c r="C34" s="42"/>
      <c r="D34" s="42"/>
      <c r="E34" s="5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</row>
    <row r="35" ht="21.0" customHeight="1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</row>
    <row r="36" ht="21.0" customHeigh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</row>
    <row r="37" ht="21.0" customHeigh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</row>
    <row r="38" ht="21.0" customHeigh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</row>
    <row r="39" ht="21.0" customHeight="1">
      <c r="A39" s="42"/>
      <c r="B39" s="42"/>
      <c r="C39" s="42"/>
      <c r="D39" s="42"/>
      <c r="E39" s="57"/>
      <c r="F39" s="57"/>
      <c r="G39" s="57"/>
      <c r="H39" s="57"/>
      <c r="I39" s="57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</row>
    <row r="40" ht="21.0" customHeight="1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</row>
    <row r="41" ht="21.0" customHeight="1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</row>
    <row r="42" ht="21.0" customHeight="1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</row>
    <row r="43" ht="21.0" customHeight="1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</row>
    <row r="44" ht="21.0" customHeight="1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</row>
    <row r="45" ht="21.0" customHeight="1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</row>
    <row r="46" ht="21.0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</row>
    <row r="47" ht="21.0" customHeight="1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</row>
    <row r="48" ht="21.0" customHeight="1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</row>
    <row r="49" ht="21.0" customHeight="1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</row>
    <row r="50" ht="21.0" customHeight="1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</row>
    <row r="51" ht="21.0" customHeight="1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</row>
    <row r="52" ht="21.0" customHeight="1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</row>
    <row r="53" ht="21.0" customHeight="1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</row>
    <row r="54" ht="21.0" customHeight="1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</row>
    <row r="55" ht="21.0" customHeight="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</row>
    <row r="56" ht="21.0" customHeight="1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</row>
    <row r="57" ht="21.0" customHeight="1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</row>
    <row r="58" ht="21.0" customHeight="1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</row>
    <row r="59" ht="21.0" customHeight="1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</row>
    <row r="60" ht="21.0" customHeight="1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</row>
    <row r="61" ht="21.0" customHeight="1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</row>
    <row r="62" ht="21.0" customHeight="1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</row>
    <row r="63" ht="21.0" customHeight="1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</row>
    <row r="64" ht="21.0" customHeight="1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</row>
    <row r="65" ht="21.0" customHeight="1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</row>
    <row r="66" ht="21.0" customHeight="1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</row>
    <row r="67" ht="21.0" customHeight="1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</row>
    <row r="68" ht="21.0" customHeight="1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</row>
    <row r="69" ht="21.0" customHeight="1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</row>
    <row r="70" ht="21.0" customHeight="1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</row>
    <row r="71" ht="21.0" customHeight="1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</row>
    <row r="72" ht="21.0" customHeight="1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</row>
    <row r="73" ht="21.0" customHeight="1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</row>
    <row r="74" ht="21.0" customHeight="1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</row>
    <row r="75" ht="21.0" customHeight="1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</row>
    <row r="76" ht="21.0" customHeight="1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</row>
    <row r="77" ht="21.0" customHeight="1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</row>
    <row r="78" ht="21.0" customHeight="1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</row>
    <row r="79" ht="21.0" customHeight="1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</row>
    <row r="80" ht="21.0" customHeight="1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</row>
    <row r="81" ht="21.0" customHeight="1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</row>
    <row r="82" ht="21.0" customHeight="1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</row>
    <row r="83" ht="21.0" customHeight="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</row>
    <row r="84" ht="21.0" customHeight="1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</row>
    <row r="85" ht="21.0" customHeight="1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</row>
    <row r="86" ht="15.75" customHeight="1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</row>
    <row r="87" ht="15.75" customHeight="1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</row>
    <row r="88" ht="15.75" customHeight="1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</row>
    <row r="89" ht="15.75" customHeight="1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</row>
    <row r="90" ht="15.75" customHeight="1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</row>
    <row r="91" ht="15.75" customHeight="1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</row>
    <row r="92" ht="15.75" customHeight="1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</row>
    <row r="93" ht="15.75" customHeight="1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</row>
    <row r="94" ht="15.75" customHeight="1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</row>
    <row r="95" ht="15.75" customHeight="1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</row>
    <row r="96" ht="15.75" customHeight="1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</row>
    <row r="97" ht="15.75" customHeight="1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</row>
    <row r="98" ht="15.75" customHeight="1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</row>
    <row r="99" ht="15.75" customHeight="1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</row>
    <row r="100" ht="15.75" customHeight="1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</row>
    <row r="101" ht="15.75" customHeight="1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</row>
    <row r="102" ht="15.75" customHeight="1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</row>
    <row r="103" ht="15.75" customHeight="1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</row>
    <row r="104" ht="15.75" customHeight="1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</row>
    <row r="105" ht="15.75" customHeight="1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</row>
    <row r="106" ht="15.75" customHeight="1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</row>
    <row r="107" ht="15.75" customHeight="1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</row>
    <row r="108" ht="15.75" customHeight="1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</row>
    <row r="109" ht="15.75" customHeight="1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</row>
    <row r="110" ht="15.75" customHeight="1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</row>
    <row r="111" ht="15.75" customHeight="1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</row>
    <row r="112" ht="15.75" customHeight="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</row>
    <row r="113" ht="15.75" customHeight="1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</row>
    <row r="114" ht="15.75" customHeight="1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</row>
    <row r="115" ht="15.75" customHeight="1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</row>
    <row r="116" ht="15.75" customHeight="1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</row>
    <row r="117" ht="15.75" customHeight="1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</row>
    <row r="118" ht="15.75" customHeight="1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</row>
    <row r="119" ht="15.75" customHeight="1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</row>
    <row r="120" ht="15.75" customHeight="1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</row>
    <row r="121" ht="15.75" customHeight="1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</row>
    <row r="122" ht="15.75" customHeight="1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</row>
    <row r="123" ht="15.75" customHeight="1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</row>
    <row r="124" ht="15.75" customHeight="1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</row>
    <row r="125" ht="15.75" customHeight="1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</row>
    <row r="126" ht="15.75" customHeight="1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</row>
    <row r="127" ht="15.75" customHeight="1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</row>
    <row r="128" ht="15.75" customHeight="1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</row>
    <row r="129" ht="15.75" customHeight="1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</row>
    <row r="130" ht="15.75" customHeight="1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</row>
    <row r="131" ht="15.75" customHeight="1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</row>
    <row r="132" ht="15.75" customHeight="1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</row>
    <row r="133" ht="15.75" customHeight="1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</row>
    <row r="134" ht="15.75" customHeight="1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</row>
    <row r="135" ht="15.75" customHeight="1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</row>
    <row r="136" ht="15.75" customHeight="1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</row>
    <row r="137" ht="15.75" customHeight="1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</row>
    <row r="138" ht="15.75" customHeight="1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</row>
    <row r="139" ht="15.75" customHeight="1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</row>
    <row r="140" ht="15.75" customHeight="1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</row>
    <row r="141" ht="15.75" customHeight="1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</row>
    <row r="142" ht="15.75" customHeight="1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</row>
    <row r="143" ht="15.75" customHeight="1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</row>
    <row r="144" ht="15.75" customHeight="1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</row>
    <row r="145" ht="15.75" customHeight="1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</row>
    <row r="146" ht="15.75" customHeight="1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</row>
    <row r="147" ht="15.75" customHeight="1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</row>
    <row r="148" ht="15.75" customHeight="1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</row>
    <row r="149" ht="15.75" customHeight="1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</row>
    <row r="150" ht="15.75" customHeight="1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</row>
    <row r="151" ht="15.75" customHeight="1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</row>
    <row r="152" ht="15.75" customHeight="1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</row>
    <row r="153" ht="15.75" customHeight="1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</row>
    <row r="154" ht="15.75" customHeight="1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</row>
    <row r="155" ht="15.75" customHeight="1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</row>
    <row r="156" ht="15.75" customHeight="1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</row>
    <row r="157" ht="15.75" customHeight="1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</row>
    <row r="158" ht="15.75" customHeight="1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</row>
    <row r="159" ht="15.75" customHeight="1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</row>
    <row r="160" ht="15.75" customHeight="1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</row>
    <row r="161" ht="15.75" customHeight="1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</row>
    <row r="162" ht="15.75" customHeight="1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</row>
    <row r="163" ht="15.75" customHeight="1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</row>
    <row r="164" ht="15.75" customHeight="1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</row>
    <row r="165" ht="15.75" customHeight="1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</row>
    <row r="166" ht="15.75" customHeight="1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</row>
    <row r="167" ht="15.75" customHeight="1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</row>
    <row r="168" ht="15.75" customHeight="1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</row>
    <row r="169" ht="15.75" customHeight="1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</row>
    <row r="170" ht="15.75" customHeight="1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</row>
    <row r="171" ht="15.75" customHeight="1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</row>
    <row r="172" ht="15.75" customHeight="1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</row>
    <row r="173" ht="15.75" customHeight="1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</row>
    <row r="174" ht="15.75" customHeight="1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</row>
    <row r="175" ht="15.75" customHeight="1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</row>
    <row r="176" ht="15.75" customHeight="1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</row>
    <row r="177" ht="15.75" customHeight="1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</row>
    <row r="178" ht="15.75" customHeight="1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</row>
    <row r="179" ht="15.75" customHeight="1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</row>
    <row r="180" ht="15.75" customHeight="1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</row>
    <row r="181" ht="15.75" customHeight="1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</row>
    <row r="182" ht="15.75" customHeight="1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</row>
    <row r="183" ht="15.75" customHeight="1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</row>
    <row r="184" ht="15.75" customHeight="1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</row>
    <row r="185" ht="15.75" customHeight="1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</row>
    <row r="186" ht="15.75" customHeight="1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</row>
    <row r="187" ht="15.75" customHeight="1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</row>
    <row r="188" ht="15.75" customHeight="1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</row>
    <row r="189" ht="15.75" customHeight="1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</row>
    <row r="190" ht="15.75" customHeight="1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</row>
    <row r="191" ht="15.75" customHeight="1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</row>
    <row r="192" ht="15.75" customHeight="1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</row>
    <row r="193" ht="15.75" customHeight="1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</row>
    <row r="194" ht="15.75" customHeight="1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</row>
    <row r="195" ht="15.75" customHeight="1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</row>
    <row r="196" ht="15.75" customHeight="1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</row>
    <row r="197" ht="15.75" customHeight="1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</row>
    <row r="198" ht="15.75" customHeight="1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</row>
    <row r="199" ht="15.75" customHeight="1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</row>
    <row r="200" ht="15.75" customHeight="1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</row>
    <row r="201" ht="15.75" customHeight="1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</row>
    <row r="202" ht="15.75" customHeight="1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</row>
    <row r="203" ht="15.75" customHeight="1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</row>
    <row r="204" ht="15.75" customHeight="1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</row>
    <row r="205" ht="15.75" customHeight="1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</row>
    <row r="206" ht="15.75" customHeight="1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</row>
    <row r="207" ht="15.75" customHeight="1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</row>
    <row r="208" ht="15.75" customHeight="1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</row>
    <row r="209" ht="15.75" customHeight="1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</row>
    <row r="210" ht="15.75" customHeight="1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</row>
    <row r="211" ht="15.75" customHeight="1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</row>
    <row r="212" ht="15.75" customHeight="1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</row>
    <row r="213" ht="15.75" customHeight="1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</row>
    <row r="214" ht="15.75" customHeight="1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</row>
    <row r="215" ht="15.75" customHeight="1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</row>
    <row r="216" ht="15.75" customHeight="1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</row>
    <row r="217" ht="15.75" customHeight="1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</row>
    <row r="218" ht="15.75" customHeight="1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</row>
    <row r="219" ht="15.75" customHeight="1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</row>
    <row r="220" ht="15.75" customHeight="1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</row>
    <row r="221" ht="15.75" customHeight="1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</row>
    <row r="222" ht="15.75" customHeight="1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</row>
    <row r="223" ht="15.75" customHeight="1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</row>
    <row r="224" ht="15.75" customHeight="1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</row>
    <row r="225" ht="15.75" customHeight="1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</row>
    <row r="226" ht="15.75" customHeight="1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</row>
    <row r="227" ht="15.75" customHeight="1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</row>
    <row r="228" ht="15.75" customHeight="1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</row>
    <row r="229" ht="15.75" customHeight="1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</row>
    <row r="230" ht="15.75" customHeight="1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</row>
    <row r="231" ht="15.75" customHeight="1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</row>
    <row r="232" ht="15.75" customHeight="1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</row>
    <row r="233" ht="15.75" customHeight="1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</row>
    <row r="234" ht="15.75" customHeight="1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</row>
    <row r="235" ht="15.75" customHeight="1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</row>
    <row r="236" ht="15.75" customHeight="1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</row>
    <row r="237" ht="15.75" customHeight="1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</row>
    <row r="238" ht="15.75" customHeight="1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</row>
    <row r="239" ht="15.75" customHeight="1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</row>
    <row r="240" ht="15.75" customHeight="1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</row>
    <row r="241" ht="15.75" customHeight="1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</row>
    <row r="242" ht="15.75" customHeight="1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</row>
    <row r="243" ht="15.75" customHeight="1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</row>
    <row r="244" ht="15.75" customHeight="1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</row>
    <row r="245" ht="15.75" customHeight="1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</row>
    <row r="246" ht="15.75" customHeight="1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</row>
    <row r="247" ht="15.75" customHeight="1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</row>
    <row r="248" ht="15.75" customHeight="1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</row>
    <row r="249" ht="15.75" customHeight="1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</row>
    <row r="250" ht="15.75" customHeight="1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</row>
    <row r="251" ht="15.75" customHeight="1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</row>
    <row r="252" ht="15.75" customHeight="1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</row>
    <row r="253" ht="15.75" customHeight="1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</row>
    <row r="254" ht="15.75" customHeight="1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</row>
    <row r="255" ht="15.75" customHeight="1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</row>
    <row r="256" ht="15.75" customHeight="1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</row>
    <row r="257" ht="15.75" customHeight="1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</row>
    <row r="258" ht="15.75" customHeight="1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</row>
    <row r="259" ht="15.75" customHeight="1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</row>
    <row r="260" ht="15.75" customHeight="1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</row>
    <row r="261" ht="15.75" customHeight="1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</row>
    <row r="262" ht="15.75" customHeight="1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</row>
    <row r="263" ht="15.75" customHeight="1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</row>
    <row r="264" ht="15.75" customHeight="1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</row>
    <row r="265" ht="15.75" customHeight="1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</row>
    <row r="266" ht="15.75" customHeight="1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</row>
    <row r="267" ht="15.75" customHeight="1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</row>
    <row r="268" ht="15.75" customHeight="1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</row>
    <row r="269" ht="15.75" customHeight="1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</row>
    <row r="270" ht="15.75" customHeight="1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</row>
    <row r="271" ht="15.75" customHeight="1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</row>
    <row r="272" ht="15.75" customHeight="1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</row>
    <row r="273" ht="15.75" customHeight="1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</row>
    <row r="274" ht="15.75" customHeight="1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</row>
    <row r="275" ht="15.75" customHeight="1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</row>
    <row r="276" ht="15.75" customHeight="1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</row>
    <row r="277" ht="15.75" customHeight="1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</row>
    <row r="278" ht="15.75" customHeight="1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</row>
    <row r="279" ht="15.75" customHeight="1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</row>
    <row r="280" ht="15.75" customHeight="1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</row>
    <row r="281" ht="15.75" customHeight="1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</row>
    <row r="282" ht="15.75" customHeight="1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</row>
    <row r="283" ht="15.75" customHeight="1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</row>
    <row r="284" ht="15.75" customHeight="1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</row>
    <row r="285" ht="15.75" customHeight="1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</row>
    <row r="286" ht="15.75" customHeight="1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</row>
    <row r="287" ht="15.75" customHeight="1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</row>
    <row r="288" ht="15.75" customHeight="1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</row>
    <row r="289" ht="15.75" customHeight="1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</row>
    <row r="290" ht="15.75" customHeight="1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</row>
    <row r="291" ht="15.75" customHeight="1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</row>
    <row r="292" ht="15.75" customHeight="1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</row>
    <row r="293" ht="15.75" customHeight="1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</row>
    <row r="294" ht="15.75" customHeight="1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</row>
    <row r="295" ht="15.75" customHeight="1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</row>
    <row r="296" ht="15.75" customHeight="1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</row>
    <row r="297" ht="15.75" customHeight="1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</row>
    <row r="298" ht="15.75" customHeight="1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</row>
    <row r="299" ht="15.75" customHeight="1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</row>
    <row r="300" ht="15.75" customHeight="1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</row>
    <row r="301" ht="15.75" customHeight="1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</row>
    <row r="302" ht="15.75" customHeight="1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</row>
    <row r="303" ht="15.75" customHeight="1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</row>
    <row r="304" ht="15.75" customHeight="1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</row>
    <row r="305" ht="15.75" customHeight="1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</row>
    <row r="306" ht="15.75" customHeight="1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</row>
    <row r="307" ht="15.75" customHeight="1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</row>
    <row r="308" ht="15.75" customHeight="1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</row>
    <row r="309" ht="15.75" customHeight="1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</row>
    <row r="310" ht="15.75" customHeight="1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</row>
    <row r="311" ht="15.75" customHeight="1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</row>
    <row r="312" ht="15.75" customHeight="1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</row>
    <row r="313" ht="15.75" customHeight="1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</row>
    <row r="314" ht="15.75" customHeight="1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</row>
    <row r="315" ht="15.75" customHeight="1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</row>
    <row r="316" ht="15.75" customHeight="1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</row>
    <row r="317" ht="15.75" customHeight="1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</row>
    <row r="318" ht="15.75" customHeight="1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</row>
    <row r="319" ht="15.75" customHeight="1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</row>
    <row r="320" ht="15.75" customHeight="1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</row>
    <row r="321" ht="15.75" customHeight="1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</row>
    <row r="322" ht="15.75" customHeight="1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</row>
    <row r="323" ht="15.75" customHeight="1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</row>
    <row r="324" ht="15.75" customHeight="1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</row>
    <row r="325" ht="15.75" customHeight="1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</row>
    <row r="326" ht="15.75" customHeight="1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</row>
    <row r="327" ht="15.75" customHeight="1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</row>
    <row r="328" ht="15.75" customHeight="1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</row>
    <row r="329" ht="15.75" customHeight="1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</row>
    <row r="330" ht="15.75" customHeight="1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</row>
    <row r="331" ht="15.75" customHeight="1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</row>
    <row r="332" ht="15.75" customHeight="1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</row>
    <row r="333" ht="15.75" customHeight="1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</row>
    <row r="334" ht="15.75" customHeight="1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</row>
    <row r="335" ht="15.75" customHeight="1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</row>
    <row r="336" ht="15.75" customHeight="1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</row>
    <row r="337" ht="15.75" customHeight="1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</row>
    <row r="338" ht="15.75" customHeight="1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</row>
    <row r="339" ht="15.75" customHeight="1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</row>
    <row r="340" ht="15.75" customHeight="1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</row>
    <row r="341" ht="15.75" customHeight="1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</row>
    <row r="342" ht="15.75" customHeight="1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</row>
    <row r="343" ht="15.75" customHeight="1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</row>
    <row r="344" ht="15.75" customHeight="1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</row>
    <row r="345" ht="15.75" customHeight="1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</row>
    <row r="346" ht="15.75" customHeight="1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</row>
    <row r="347" ht="15.75" customHeight="1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</row>
    <row r="348" ht="15.75" customHeight="1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</row>
    <row r="349" ht="15.75" customHeight="1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</row>
    <row r="350" ht="15.75" customHeight="1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</row>
    <row r="351" ht="15.75" customHeight="1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</row>
    <row r="352" ht="15.75" customHeight="1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</row>
    <row r="353" ht="15.75" customHeight="1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</row>
    <row r="354" ht="15.75" customHeight="1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</row>
    <row r="355" ht="15.75" customHeight="1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</row>
    <row r="356" ht="15.75" customHeight="1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</row>
    <row r="357" ht="15.75" customHeight="1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</row>
    <row r="358" ht="15.75" customHeight="1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</row>
    <row r="359" ht="15.75" customHeight="1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</row>
    <row r="360" ht="15.75" customHeight="1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</row>
    <row r="361" ht="15.75" customHeight="1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</row>
    <row r="362" ht="15.75" customHeight="1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</row>
    <row r="363" ht="15.75" customHeight="1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</row>
    <row r="364" ht="15.75" customHeight="1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</row>
    <row r="365" ht="15.75" customHeight="1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</row>
    <row r="366" ht="15.75" customHeight="1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</row>
    <row r="367" ht="15.75" customHeight="1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</row>
    <row r="368" ht="15.75" customHeight="1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</row>
    <row r="369" ht="15.75" customHeight="1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</row>
    <row r="370" ht="15.75" customHeight="1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</row>
    <row r="371" ht="15.75" customHeight="1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</row>
    <row r="372" ht="15.75" customHeight="1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</row>
    <row r="373" ht="15.75" customHeight="1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</row>
    <row r="374" ht="15.75" customHeight="1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</row>
    <row r="375" ht="15.75" customHeight="1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</row>
    <row r="376" ht="15.75" customHeight="1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</row>
    <row r="377" ht="15.75" customHeight="1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</row>
    <row r="378" ht="15.75" customHeight="1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</row>
    <row r="379" ht="15.75" customHeight="1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</row>
    <row r="380" ht="15.75" customHeight="1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</row>
    <row r="381" ht="15.75" customHeight="1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</row>
    <row r="382" ht="15.75" customHeight="1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</row>
    <row r="383" ht="15.75" customHeight="1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</row>
    <row r="384" ht="15.75" customHeight="1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</row>
    <row r="385" ht="15.75" customHeight="1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</row>
    <row r="386" ht="15.75" customHeight="1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</row>
    <row r="387" ht="15.75" customHeight="1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</row>
    <row r="388" ht="15.75" customHeight="1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</row>
    <row r="389" ht="15.75" customHeight="1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</row>
    <row r="390" ht="15.75" customHeight="1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</row>
    <row r="391" ht="15.75" customHeight="1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</row>
    <row r="392" ht="15.75" customHeight="1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</row>
    <row r="393" ht="15.75" customHeight="1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</row>
    <row r="394" ht="15.75" customHeight="1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</row>
    <row r="395" ht="15.75" customHeight="1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</row>
    <row r="396" ht="15.75" customHeight="1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</row>
    <row r="397" ht="15.75" customHeight="1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</row>
    <row r="398" ht="15.75" customHeight="1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</row>
    <row r="399" ht="15.75" customHeight="1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</row>
    <row r="400" ht="15.75" customHeight="1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</row>
    <row r="401" ht="15.75" customHeight="1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</row>
    <row r="402" ht="15.75" customHeight="1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</row>
    <row r="403" ht="15.75" customHeight="1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</row>
    <row r="404" ht="15.75" customHeight="1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</row>
    <row r="405" ht="15.75" customHeight="1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</row>
    <row r="406" ht="15.75" customHeight="1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</row>
    <row r="407" ht="15.75" customHeight="1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</row>
    <row r="408" ht="15.75" customHeight="1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</row>
    <row r="409" ht="15.75" customHeight="1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</row>
    <row r="410" ht="15.75" customHeight="1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</row>
    <row r="411" ht="15.75" customHeight="1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</row>
    <row r="412" ht="15.75" customHeight="1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</row>
    <row r="413" ht="15.75" customHeight="1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</row>
    <row r="414" ht="15.75" customHeight="1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</row>
    <row r="415" ht="15.75" customHeight="1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</row>
    <row r="416" ht="15.75" customHeight="1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</row>
    <row r="417" ht="15.75" customHeight="1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</row>
    <row r="418" ht="15.75" customHeight="1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</row>
    <row r="419" ht="15.75" customHeight="1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</row>
    <row r="420" ht="15.75" customHeight="1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</row>
    <row r="421" ht="15.75" customHeight="1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</row>
    <row r="422" ht="15.75" customHeight="1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</row>
    <row r="423" ht="15.75" customHeight="1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</row>
    <row r="424" ht="15.75" customHeight="1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</row>
    <row r="425" ht="15.75" customHeight="1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</row>
    <row r="426" ht="15.75" customHeight="1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</row>
    <row r="427" ht="15.75" customHeight="1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</row>
    <row r="428" ht="15.75" customHeight="1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</row>
    <row r="429" ht="15.75" customHeight="1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</row>
    <row r="430" ht="15.75" customHeight="1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</row>
    <row r="431" ht="15.75" customHeight="1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</row>
    <row r="432" ht="15.75" customHeight="1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</row>
    <row r="433" ht="15.75" customHeight="1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</row>
    <row r="434" ht="15.75" customHeight="1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</row>
    <row r="435" ht="15.75" customHeight="1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</row>
    <row r="436" ht="15.75" customHeight="1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42"/>
      <c r="AD436" s="42"/>
    </row>
    <row r="437" ht="15.75" customHeight="1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</row>
    <row r="438" ht="15.75" customHeight="1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42"/>
      <c r="AD438" s="42"/>
    </row>
    <row r="439" ht="15.75" customHeight="1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42"/>
      <c r="AD439" s="42"/>
    </row>
    <row r="440" ht="15.75" customHeight="1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</row>
    <row r="441" ht="15.75" customHeight="1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42"/>
      <c r="AD441" s="42"/>
    </row>
    <row r="442" ht="15.75" customHeight="1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42"/>
      <c r="AD442" s="42"/>
    </row>
    <row r="443" ht="15.75" customHeight="1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42"/>
      <c r="AD443" s="42"/>
    </row>
    <row r="444" ht="15.75" customHeight="1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42"/>
      <c r="AD444" s="42"/>
    </row>
    <row r="445" ht="15.75" customHeight="1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/>
    </row>
    <row r="446" ht="15.75" customHeight="1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42"/>
      <c r="AD446" s="42"/>
    </row>
    <row r="447" ht="15.75" customHeight="1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</row>
    <row r="448" ht="15.75" customHeight="1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42"/>
      <c r="AD448" s="42"/>
    </row>
    <row r="449" ht="15.75" customHeight="1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42"/>
      <c r="AD449" s="42"/>
    </row>
    <row r="450" ht="15.75" customHeight="1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42"/>
      <c r="AD450" s="42"/>
    </row>
    <row r="451" ht="15.75" customHeight="1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42"/>
      <c r="AD451" s="42"/>
    </row>
    <row r="452" ht="15.75" customHeight="1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42"/>
      <c r="AC452" s="42"/>
      <c r="AD452" s="42"/>
    </row>
    <row r="453" ht="15.75" customHeight="1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42"/>
      <c r="AD453" s="42"/>
    </row>
    <row r="454" ht="15.75" customHeight="1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42"/>
      <c r="AD454" s="42"/>
    </row>
    <row r="455" ht="15.75" customHeight="1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</row>
    <row r="456" ht="15.75" customHeight="1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42"/>
      <c r="AD456" s="42"/>
    </row>
    <row r="457" ht="15.75" customHeight="1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42"/>
      <c r="AD457" s="42"/>
    </row>
    <row r="458" ht="15.75" customHeight="1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42"/>
      <c r="AD458" s="42"/>
    </row>
    <row r="459" ht="15.75" customHeight="1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</row>
    <row r="460" ht="15.75" customHeight="1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42"/>
      <c r="AD460" s="42"/>
    </row>
    <row r="461" ht="15.75" customHeight="1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42"/>
      <c r="AD461" s="42"/>
    </row>
    <row r="462" ht="15.75" customHeight="1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</row>
    <row r="463" ht="15.75" customHeight="1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42"/>
      <c r="AD463" s="42"/>
    </row>
    <row r="464" ht="15.75" customHeight="1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</row>
    <row r="465" ht="15.75" customHeight="1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42"/>
      <c r="AD465" s="42"/>
    </row>
    <row r="466" ht="15.75" customHeight="1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42"/>
      <c r="AD466" s="42"/>
    </row>
    <row r="467" ht="15.75" customHeight="1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</row>
    <row r="468" ht="15.75" customHeight="1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42"/>
      <c r="AD468" s="42"/>
    </row>
    <row r="469" ht="15.75" customHeight="1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42"/>
      <c r="AD469" s="42"/>
    </row>
    <row r="470" ht="15.75" customHeight="1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42"/>
      <c r="AD470" s="42"/>
    </row>
    <row r="471" ht="15.75" customHeight="1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42"/>
      <c r="AD471" s="42"/>
    </row>
    <row r="472" ht="15.75" customHeight="1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42"/>
      <c r="AD472" s="42"/>
    </row>
    <row r="473" ht="15.75" customHeight="1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</row>
    <row r="474" ht="15.75" customHeight="1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</row>
    <row r="475" ht="15.75" customHeight="1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42"/>
      <c r="AD475" s="42"/>
    </row>
    <row r="476" ht="15.75" customHeight="1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</row>
    <row r="477" ht="15.75" customHeight="1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42"/>
      <c r="AD477" s="42"/>
    </row>
    <row r="478" ht="15.75" customHeight="1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42"/>
      <c r="AD478" s="42"/>
    </row>
    <row r="479" ht="15.75" customHeight="1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42"/>
      <c r="AD479" s="42"/>
    </row>
    <row r="480" ht="15.75" customHeight="1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42"/>
      <c r="AD480" s="42"/>
    </row>
    <row r="481" ht="15.75" customHeight="1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42"/>
      <c r="AD481" s="42"/>
    </row>
    <row r="482" ht="15.75" customHeight="1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</row>
    <row r="483" ht="15.75" customHeight="1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42"/>
      <c r="AD483" s="42"/>
    </row>
    <row r="484" ht="15.75" customHeight="1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42"/>
      <c r="AD484" s="42"/>
    </row>
    <row r="485" ht="15.75" customHeight="1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42"/>
      <c r="AD485" s="42"/>
    </row>
    <row r="486" ht="15.75" customHeight="1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42"/>
      <c r="AD486" s="42"/>
    </row>
    <row r="487" ht="15.75" customHeight="1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42"/>
      <c r="AD487" s="42"/>
    </row>
    <row r="488" ht="15.75" customHeight="1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42"/>
      <c r="AD488" s="42"/>
    </row>
    <row r="489" ht="15.75" customHeight="1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42"/>
      <c r="AD489" s="42"/>
    </row>
    <row r="490" ht="15.75" customHeight="1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42"/>
      <c r="AD490" s="42"/>
    </row>
    <row r="491" ht="15.75" customHeight="1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42"/>
      <c r="AD491" s="42"/>
    </row>
    <row r="492" ht="15.75" customHeight="1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42"/>
      <c r="AD492" s="42"/>
    </row>
    <row r="493" ht="15.75" customHeight="1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42"/>
      <c r="AD493" s="42"/>
    </row>
    <row r="494" ht="15.75" customHeight="1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42"/>
      <c r="AD494" s="42"/>
    </row>
    <row r="495" ht="15.75" customHeight="1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42"/>
      <c r="AD495" s="42"/>
    </row>
    <row r="496" ht="15.75" customHeight="1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</row>
    <row r="497" ht="15.75" customHeight="1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42"/>
      <c r="AD497" s="42"/>
    </row>
    <row r="498" ht="15.75" customHeight="1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42"/>
      <c r="AD498" s="42"/>
    </row>
    <row r="499" ht="15.75" customHeight="1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</row>
    <row r="500" ht="15.75" customHeight="1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42"/>
      <c r="AD500" s="42"/>
    </row>
    <row r="501" ht="15.75" customHeight="1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42"/>
      <c r="AD501" s="42"/>
    </row>
    <row r="502" ht="15.75" customHeight="1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42"/>
      <c r="AD502" s="42"/>
    </row>
    <row r="503" ht="15.75" customHeight="1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42"/>
      <c r="AD503" s="42"/>
    </row>
    <row r="504" ht="15.75" customHeight="1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42"/>
      <c r="AD504" s="42"/>
    </row>
    <row r="505" ht="15.75" customHeight="1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42"/>
      <c r="AD505" s="42"/>
    </row>
    <row r="506" ht="15.75" customHeight="1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42"/>
      <c r="AD506" s="42"/>
    </row>
    <row r="507" ht="15.75" customHeight="1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42"/>
      <c r="AD507" s="42"/>
    </row>
    <row r="508" ht="15.75" customHeight="1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42"/>
      <c r="AD508" s="42"/>
    </row>
    <row r="509" ht="15.75" customHeight="1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42"/>
      <c r="AD509" s="42"/>
    </row>
    <row r="510" ht="15.75" customHeight="1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42"/>
      <c r="AD510" s="42"/>
    </row>
    <row r="511" ht="15.75" customHeight="1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42"/>
      <c r="AD511" s="42"/>
    </row>
    <row r="512" ht="15.75" customHeight="1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</row>
    <row r="513" ht="15.75" customHeight="1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42"/>
      <c r="AD513" s="42"/>
    </row>
    <row r="514" ht="15.75" customHeight="1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42"/>
      <c r="AD514" s="42"/>
    </row>
    <row r="515" ht="15.75" customHeight="1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42"/>
      <c r="AD515" s="42"/>
    </row>
    <row r="516" ht="15.75" customHeight="1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</row>
    <row r="517" ht="15.75" customHeight="1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</row>
    <row r="518" ht="15.75" customHeight="1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</row>
    <row r="519" ht="15.75" customHeight="1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</row>
    <row r="520" ht="15.75" customHeight="1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</row>
    <row r="521" ht="15.75" customHeight="1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  <c r="AB521" s="42"/>
      <c r="AC521" s="42"/>
      <c r="AD521" s="42"/>
    </row>
    <row r="522" ht="15.75" customHeight="1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</row>
    <row r="523" ht="15.75" customHeight="1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</row>
    <row r="524" ht="15.75" customHeight="1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</row>
    <row r="525" ht="15.75" customHeight="1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  <c r="AA525" s="42"/>
      <c r="AB525" s="42"/>
      <c r="AC525" s="42"/>
      <c r="AD525" s="42"/>
    </row>
    <row r="526" ht="15.75" customHeight="1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</row>
    <row r="527" ht="15.75" customHeight="1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</row>
    <row r="528" ht="15.75" customHeight="1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</row>
    <row r="529" ht="15.75" customHeight="1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  <c r="AA529" s="42"/>
      <c r="AB529" s="42"/>
      <c r="AC529" s="42"/>
      <c r="AD529" s="42"/>
    </row>
    <row r="530" ht="15.75" customHeight="1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</row>
    <row r="531" ht="15.75" customHeight="1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  <c r="AB531" s="42"/>
      <c r="AC531" s="42"/>
      <c r="AD531" s="42"/>
    </row>
    <row r="532" ht="15.75" customHeight="1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</row>
    <row r="533" ht="15.75" customHeight="1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  <c r="AA533" s="42"/>
      <c r="AB533" s="42"/>
      <c r="AC533" s="42"/>
      <c r="AD533" s="42"/>
    </row>
    <row r="534" ht="15.75" customHeight="1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</row>
    <row r="535" ht="15.75" customHeight="1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</row>
    <row r="536" ht="15.75" customHeight="1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</row>
    <row r="537" ht="15.75" customHeight="1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</row>
    <row r="538" ht="15.75" customHeight="1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  <c r="AA538" s="42"/>
      <c r="AB538" s="42"/>
      <c r="AC538" s="42"/>
      <c r="AD538" s="42"/>
    </row>
    <row r="539" ht="15.75" customHeight="1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</row>
    <row r="540" ht="15.75" customHeight="1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</row>
    <row r="541" ht="15.75" customHeight="1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  <c r="AA541" s="42"/>
      <c r="AB541" s="42"/>
      <c r="AC541" s="42"/>
      <c r="AD541" s="42"/>
    </row>
    <row r="542" ht="15.75" customHeight="1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</row>
    <row r="543" ht="15.75" customHeight="1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  <c r="AA543" s="42"/>
      <c r="AB543" s="42"/>
      <c r="AC543" s="42"/>
      <c r="AD543" s="42"/>
    </row>
    <row r="544" ht="15.75" customHeight="1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  <c r="AA544" s="42"/>
      <c r="AB544" s="42"/>
      <c r="AC544" s="42"/>
      <c r="AD544" s="42"/>
    </row>
    <row r="545" ht="15.75" customHeight="1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  <c r="AA545" s="42"/>
      <c r="AB545" s="42"/>
      <c r="AC545" s="42"/>
      <c r="AD545" s="42"/>
    </row>
    <row r="546" ht="15.75" customHeight="1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</row>
    <row r="547" ht="15.75" customHeight="1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  <c r="AB547" s="42"/>
      <c r="AC547" s="42"/>
      <c r="AD547" s="42"/>
    </row>
    <row r="548" ht="15.75" customHeight="1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  <c r="AA548" s="42"/>
      <c r="AB548" s="42"/>
      <c r="AC548" s="42"/>
      <c r="AD548" s="42"/>
    </row>
    <row r="549" ht="15.75" customHeight="1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</row>
    <row r="550" ht="15.75" customHeight="1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  <c r="AA550" s="42"/>
      <c r="AB550" s="42"/>
      <c r="AC550" s="42"/>
      <c r="AD550" s="42"/>
    </row>
    <row r="551" ht="15.75" customHeight="1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</row>
    <row r="552" ht="15.75" customHeight="1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  <c r="AB552" s="42"/>
      <c r="AC552" s="42"/>
      <c r="AD552" s="42"/>
    </row>
    <row r="553" ht="15.75" customHeight="1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</row>
    <row r="554" ht="15.75" customHeight="1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</row>
    <row r="555" ht="15.75" customHeight="1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</row>
    <row r="556" ht="15.75" customHeight="1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</row>
    <row r="557" ht="15.75" customHeight="1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</row>
    <row r="558" ht="15.75" customHeight="1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</row>
    <row r="559" ht="15.75" customHeight="1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</row>
    <row r="560" ht="15.75" customHeight="1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</row>
    <row r="561" ht="15.75" customHeight="1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  <c r="AB561" s="42"/>
      <c r="AC561" s="42"/>
      <c r="AD561" s="42"/>
    </row>
    <row r="562" ht="15.75" customHeight="1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  <c r="AA562" s="42"/>
      <c r="AB562" s="42"/>
      <c r="AC562" s="42"/>
      <c r="AD562" s="42"/>
    </row>
    <row r="563" ht="15.75" customHeight="1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</row>
    <row r="564" ht="15.75" customHeight="1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  <c r="AA564" s="42"/>
      <c r="AB564" s="42"/>
      <c r="AC564" s="42"/>
      <c r="AD564" s="42"/>
    </row>
    <row r="565" ht="15.75" customHeight="1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</row>
    <row r="566" ht="15.75" customHeight="1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</row>
    <row r="567" ht="15.75" customHeight="1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</row>
    <row r="568" ht="15.75" customHeight="1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  <c r="AA568" s="42"/>
      <c r="AB568" s="42"/>
      <c r="AC568" s="42"/>
      <c r="AD568" s="42"/>
    </row>
    <row r="569" ht="15.75" customHeight="1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</row>
    <row r="570" ht="15.75" customHeight="1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  <c r="AA570" s="42"/>
      <c r="AB570" s="42"/>
      <c r="AC570" s="42"/>
      <c r="AD570" s="42"/>
    </row>
    <row r="571" ht="15.75" customHeight="1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</row>
    <row r="572" ht="15.75" customHeight="1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</row>
    <row r="573" ht="15.75" customHeight="1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</row>
    <row r="574" ht="15.75" customHeight="1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</row>
    <row r="575" ht="15.75" customHeight="1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</row>
    <row r="576" ht="15.75" customHeight="1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</row>
    <row r="577" ht="15.75" customHeight="1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  <c r="AB577" s="42"/>
      <c r="AC577" s="42"/>
      <c r="AD577" s="42"/>
    </row>
    <row r="578" ht="15.75" customHeight="1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  <c r="AB578" s="42"/>
      <c r="AC578" s="42"/>
      <c r="AD578" s="42"/>
    </row>
    <row r="579" ht="15.75" customHeight="1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  <c r="AB579" s="42"/>
      <c r="AC579" s="42"/>
      <c r="AD579" s="42"/>
    </row>
    <row r="580" ht="15.75" customHeight="1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  <c r="AA580" s="42"/>
      <c r="AB580" s="42"/>
      <c r="AC580" s="42"/>
      <c r="AD580" s="42"/>
    </row>
    <row r="581" ht="15.75" customHeight="1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  <c r="AB581" s="42"/>
      <c r="AC581" s="42"/>
      <c r="AD581" s="42"/>
    </row>
    <row r="582" ht="15.75" customHeight="1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  <c r="AB582" s="42"/>
      <c r="AC582" s="42"/>
      <c r="AD582" s="42"/>
    </row>
    <row r="583" ht="15.75" customHeight="1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</row>
    <row r="584" ht="15.75" customHeight="1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  <c r="AB584" s="42"/>
      <c r="AC584" s="42"/>
      <c r="AD584" s="42"/>
    </row>
    <row r="585" ht="15.75" customHeight="1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  <c r="AA585" s="42"/>
      <c r="AB585" s="42"/>
      <c r="AC585" s="42"/>
      <c r="AD585" s="42"/>
    </row>
    <row r="586" ht="15.75" customHeight="1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</row>
    <row r="587" ht="15.75" customHeight="1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  <c r="AA587" s="42"/>
      <c r="AB587" s="42"/>
      <c r="AC587" s="42"/>
      <c r="AD587" s="42"/>
    </row>
    <row r="588" ht="15.75" customHeight="1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  <c r="AB588" s="42"/>
      <c r="AC588" s="42"/>
      <c r="AD588" s="42"/>
    </row>
    <row r="589" ht="15.75" customHeight="1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</row>
    <row r="590" ht="15.75" customHeight="1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  <c r="AA590" s="42"/>
      <c r="AB590" s="42"/>
      <c r="AC590" s="42"/>
      <c r="AD590" s="42"/>
    </row>
    <row r="591" ht="15.75" customHeight="1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  <c r="AA591" s="42"/>
      <c r="AB591" s="42"/>
      <c r="AC591" s="42"/>
      <c r="AD591" s="42"/>
    </row>
    <row r="592" ht="15.75" customHeight="1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  <c r="AA592" s="42"/>
      <c r="AB592" s="42"/>
      <c r="AC592" s="42"/>
      <c r="AD592" s="42"/>
    </row>
    <row r="593" ht="15.75" customHeight="1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  <c r="AA593" s="42"/>
      <c r="AB593" s="42"/>
      <c r="AC593" s="42"/>
      <c r="AD593" s="42"/>
    </row>
    <row r="594" ht="15.75" customHeight="1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  <c r="AB594" s="42"/>
      <c r="AC594" s="42"/>
      <c r="AD594" s="42"/>
    </row>
    <row r="595" ht="15.75" customHeight="1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  <c r="AA595" s="42"/>
      <c r="AB595" s="42"/>
      <c r="AC595" s="42"/>
      <c r="AD595" s="42"/>
    </row>
    <row r="596" ht="15.75" customHeight="1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  <c r="AB596" s="42"/>
      <c r="AC596" s="42"/>
      <c r="AD596" s="42"/>
    </row>
    <row r="597" ht="15.75" customHeight="1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  <c r="AA597" s="42"/>
      <c r="AB597" s="42"/>
      <c r="AC597" s="42"/>
      <c r="AD597" s="42"/>
    </row>
    <row r="598" ht="15.75" customHeight="1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  <c r="AB598" s="42"/>
      <c r="AC598" s="42"/>
      <c r="AD598" s="42"/>
    </row>
    <row r="599" ht="15.75" customHeight="1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  <c r="AB599" s="42"/>
      <c r="AC599" s="42"/>
      <c r="AD599" s="42"/>
    </row>
    <row r="600" ht="15.75" customHeight="1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  <c r="AB600" s="42"/>
      <c r="AC600" s="42"/>
      <c r="AD600" s="42"/>
    </row>
    <row r="601" ht="15.75" customHeight="1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42"/>
      <c r="AB601" s="42"/>
      <c r="AC601" s="42"/>
      <c r="AD601" s="42"/>
    </row>
    <row r="602" ht="15.75" customHeight="1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</row>
    <row r="603" ht="15.75" customHeight="1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</row>
    <row r="604" ht="15.75" customHeight="1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  <c r="AA604" s="42"/>
      <c r="AB604" s="42"/>
      <c r="AC604" s="42"/>
      <c r="AD604" s="42"/>
    </row>
    <row r="605" ht="15.75" customHeight="1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  <c r="AB605" s="42"/>
      <c r="AC605" s="42"/>
      <c r="AD605" s="42"/>
    </row>
    <row r="606" ht="15.75" customHeight="1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  <c r="AB606" s="42"/>
      <c r="AC606" s="42"/>
      <c r="AD606" s="42"/>
    </row>
    <row r="607" ht="15.75" customHeight="1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  <c r="AA607" s="42"/>
      <c r="AB607" s="42"/>
      <c r="AC607" s="42"/>
      <c r="AD607" s="42"/>
    </row>
    <row r="608" ht="15.75" customHeight="1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  <c r="AB608" s="42"/>
      <c r="AC608" s="42"/>
      <c r="AD608" s="42"/>
    </row>
    <row r="609" ht="15.75" customHeight="1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  <c r="AA609" s="42"/>
      <c r="AB609" s="42"/>
      <c r="AC609" s="42"/>
      <c r="AD609" s="42"/>
    </row>
    <row r="610" ht="15.75" customHeight="1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  <c r="AB610" s="42"/>
      <c r="AC610" s="42"/>
      <c r="AD610" s="42"/>
    </row>
    <row r="611" ht="15.75" customHeight="1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  <c r="AB611" s="42"/>
      <c r="AC611" s="42"/>
      <c r="AD611" s="42"/>
    </row>
    <row r="612" ht="15.75" customHeight="1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  <c r="AB612" s="42"/>
      <c r="AC612" s="42"/>
      <c r="AD612" s="42"/>
    </row>
    <row r="613" ht="15.75" customHeight="1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  <c r="AA613" s="42"/>
      <c r="AB613" s="42"/>
      <c r="AC613" s="42"/>
      <c r="AD613" s="42"/>
    </row>
    <row r="614" ht="15.75" customHeight="1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  <c r="AA614" s="42"/>
      <c r="AB614" s="42"/>
      <c r="AC614" s="42"/>
      <c r="AD614" s="42"/>
    </row>
    <row r="615" ht="15.75" customHeight="1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  <c r="AA615" s="42"/>
      <c r="AB615" s="42"/>
      <c r="AC615" s="42"/>
      <c r="AD615" s="42"/>
    </row>
    <row r="616" ht="15.75" customHeight="1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  <c r="AA616" s="42"/>
      <c r="AB616" s="42"/>
      <c r="AC616" s="42"/>
      <c r="AD616" s="42"/>
    </row>
    <row r="617" ht="15.75" customHeight="1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  <c r="AA617" s="42"/>
      <c r="AB617" s="42"/>
      <c r="AC617" s="42"/>
      <c r="AD617" s="42"/>
    </row>
    <row r="618" ht="15.75" customHeight="1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  <c r="AA618" s="42"/>
      <c r="AB618" s="42"/>
      <c r="AC618" s="42"/>
      <c r="AD618" s="42"/>
    </row>
    <row r="619" ht="15.75" customHeight="1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42"/>
      <c r="AB619" s="42"/>
      <c r="AC619" s="42"/>
      <c r="AD619" s="42"/>
    </row>
    <row r="620" ht="15.75" customHeight="1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  <c r="AA620" s="42"/>
      <c r="AB620" s="42"/>
      <c r="AC620" s="42"/>
      <c r="AD620" s="42"/>
    </row>
    <row r="621" ht="15.75" customHeight="1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42"/>
      <c r="AB621" s="42"/>
      <c r="AC621" s="42"/>
      <c r="AD621" s="42"/>
    </row>
    <row r="622" ht="15.75" customHeight="1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42"/>
      <c r="AB622" s="42"/>
      <c r="AC622" s="42"/>
      <c r="AD622" s="42"/>
    </row>
    <row r="623" ht="15.75" customHeight="1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42"/>
      <c r="AB623" s="42"/>
      <c r="AC623" s="42"/>
      <c r="AD623" s="42"/>
    </row>
    <row r="624" ht="15.75" customHeight="1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  <c r="AA624" s="42"/>
      <c r="AB624" s="42"/>
      <c r="AC624" s="42"/>
      <c r="AD624" s="42"/>
    </row>
    <row r="625" ht="15.75" customHeight="1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42"/>
      <c r="AB625" s="42"/>
      <c r="AC625" s="42"/>
      <c r="AD625" s="42"/>
    </row>
    <row r="626" ht="15.75" customHeight="1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42"/>
      <c r="AB626" s="42"/>
      <c r="AC626" s="42"/>
      <c r="AD626" s="42"/>
    </row>
    <row r="627" ht="15.75" customHeight="1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42"/>
      <c r="AB627" s="42"/>
      <c r="AC627" s="42"/>
      <c r="AD627" s="42"/>
    </row>
    <row r="628" ht="15.75" customHeight="1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42"/>
      <c r="AB628" s="42"/>
      <c r="AC628" s="42"/>
      <c r="AD628" s="42"/>
    </row>
    <row r="629" ht="15.75" customHeight="1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  <c r="AA629" s="42"/>
      <c r="AB629" s="42"/>
      <c r="AC629" s="42"/>
      <c r="AD629" s="42"/>
    </row>
    <row r="630" ht="15.75" customHeight="1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42"/>
      <c r="AB630" s="42"/>
      <c r="AC630" s="42"/>
      <c r="AD630" s="42"/>
    </row>
    <row r="631" ht="15.75" customHeight="1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  <c r="AA631" s="42"/>
      <c r="AB631" s="42"/>
      <c r="AC631" s="42"/>
      <c r="AD631" s="42"/>
    </row>
    <row r="632" ht="15.75" customHeight="1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42"/>
      <c r="AB632" s="42"/>
      <c r="AC632" s="42"/>
      <c r="AD632" s="42"/>
    </row>
    <row r="633" ht="15.75" customHeight="1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42"/>
      <c r="AB633" s="42"/>
      <c r="AC633" s="42"/>
      <c r="AD633" s="42"/>
    </row>
    <row r="634" ht="15.75" customHeight="1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42"/>
      <c r="AB634" s="42"/>
      <c r="AC634" s="42"/>
      <c r="AD634" s="42"/>
    </row>
    <row r="635" ht="15.75" customHeight="1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  <c r="AA635" s="42"/>
      <c r="AB635" s="42"/>
      <c r="AC635" s="42"/>
      <c r="AD635" s="42"/>
    </row>
    <row r="636" ht="15.75" customHeight="1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42"/>
      <c r="AB636" s="42"/>
      <c r="AC636" s="42"/>
      <c r="AD636" s="42"/>
    </row>
    <row r="637" ht="15.75" customHeight="1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  <c r="AA637" s="42"/>
      <c r="AB637" s="42"/>
      <c r="AC637" s="42"/>
      <c r="AD637" s="42"/>
    </row>
    <row r="638" ht="15.75" customHeight="1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42"/>
      <c r="AB638" s="42"/>
      <c r="AC638" s="42"/>
      <c r="AD638" s="42"/>
    </row>
    <row r="639" ht="15.75" customHeight="1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  <c r="AA639" s="42"/>
      <c r="AB639" s="42"/>
      <c r="AC639" s="42"/>
      <c r="AD639" s="42"/>
    </row>
    <row r="640" ht="15.75" customHeight="1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  <c r="AA640" s="42"/>
      <c r="AB640" s="42"/>
      <c r="AC640" s="42"/>
      <c r="AD640" s="42"/>
    </row>
    <row r="641" ht="15.75" customHeight="1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  <c r="AA641" s="42"/>
      <c r="AB641" s="42"/>
      <c r="AC641" s="42"/>
      <c r="AD641" s="42"/>
    </row>
    <row r="642" ht="15.75" customHeight="1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  <c r="AA642" s="42"/>
      <c r="AB642" s="42"/>
      <c r="AC642" s="42"/>
      <c r="AD642" s="42"/>
    </row>
    <row r="643" ht="15.75" customHeight="1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  <c r="AA643" s="42"/>
      <c r="AB643" s="42"/>
      <c r="AC643" s="42"/>
      <c r="AD643" s="42"/>
    </row>
    <row r="644" ht="15.75" customHeight="1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  <c r="AA644" s="42"/>
      <c r="AB644" s="42"/>
      <c r="AC644" s="42"/>
      <c r="AD644" s="42"/>
    </row>
    <row r="645" ht="15.75" customHeight="1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  <c r="AA645" s="42"/>
      <c r="AB645" s="42"/>
      <c r="AC645" s="42"/>
      <c r="AD645" s="42"/>
    </row>
    <row r="646" ht="15.75" customHeight="1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  <c r="AA646" s="42"/>
      <c r="AB646" s="42"/>
      <c r="AC646" s="42"/>
      <c r="AD646" s="42"/>
    </row>
    <row r="647" ht="15.75" customHeight="1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  <c r="AA647" s="42"/>
      <c r="AB647" s="42"/>
      <c r="AC647" s="42"/>
      <c r="AD647" s="42"/>
    </row>
    <row r="648" ht="15.75" customHeight="1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  <c r="AA648" s="42"/>
      <c r="AB648" s="42"/>
      <c r="AC648" s="42"/>
      <c r="AD648" s="42"/>
    </row>
    <row r="649" ht="15.75" customHeight="1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  <c r="AA649" s="42"/>
      <c r="AB649" s="42"/>
      <c r="AC649" s="42"/>
      <c r="AD649" s="42"/>
    </row>
    <row r="650" ht="15.75" customHeight="1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  <c r="AA650" s="42"/>
      <c r="AB650" s="42"/>
      <c r="AC650" s="42"/>
      <c r="AD650" s="42"/>
    </row>
    <row r="651" ht="15.75" customHeight="1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  <c r="AA651" s="42"/>
      <c r="AB651" s="42"/>
      <c r="AC651" s="42"/>
      <c r="AD651" s="42"/>
    </row>
    <row r="652" ht="15.75" customHeight="1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  <c r="AA652" s="42"/>
      <c r="AB652" s="42"/>
      <c r="AC652" s="42"/>
      <c r="AD652" s="42"/>
    </row>
    <row r="653" ht="15.75" customHeight="1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  <c r="AA653" s="42"/>
      <c r="AB653" s="42"/>
      <c r="AC653" s="42"/>
      <c r="AD653" s="42"/>
    </row>
    <row r="654" ht="15.75" customHeight="1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  <c r="AA654" s="42"/>
      <c r="AB654" s="42"/>
      <c r="AC654" s="42"/>
      <c r="AD654" s="42"/>
    </row>
    <row r="655" ht="15.75" customHeight="1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  <c r="AA655" s="42"/>
      <c r="AB655" s="42"/>
      <c r="AC655" s="42"/>
      <c r="AD655" s="42"/>
    </row>
    <row r="656" ht="15.75" customHeight="1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  <c r="AA656" s="42"/>
      <c r="AB656" s="42"/>
      <c r="AC656" s="42"/>
      <c r="AD656" s="42"/>
    </row>
    <row r="657" ht="15.75" customHeight="1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  <c r="AA657" s="42"/>
      <c r="AB657" s="42"/>
      <c r="AC657" s="42"/>
      <c r="AD657" s="42"/>
    </row>
    <row r="658" ht="15.75" customHeight="1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  <c r="AA658" s="42"/>
      <c r="AB658" s="42"/>
      <c r="AC658" s="42"/>
      <c r="AD658" s="42"/>
    </row>
    <row r="659" ht="15.75" customHeight="1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  <c r="AA659" s="42"/>
      <c r="AB659" s="42"/>
      <c r="AC659" s="42"/>
      <c r="AD659" s="42"/>
    </row>
    <row r="660" ht="15.75" customHeight="1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42"/>
      <c r="AB660" s="42"/>
      <c r="AC660" s="42"/>
      <c r="AD660" s="42"/>
    </row>
    <row r="661" ht="15.75" customHeight="1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42"/>
      <c r="AB661" s="42"/>
      <c r="AC661" s="42"/>
      <c r="AD661" s="42"/>
    </row>
    <row r="662" ht="15.75" customHeight="1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42"/>
      <c r="AB662" s="42"/>
      <c r="AC662" s="42"/>
      <c r="AD662" s="42"/>
    </row>
    <row r="663" ht="15.75" customHeight="1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  <c r="AA663" s="42"/>
      <c r="AB663" s="42"/>
      <c r="AC663" s="42"/>
      <c r="AD663" s="42"/>
    </row>
    <row r="664" ht="15.75" customHeight="1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42"/>
      <c r="AB664" s="42"/>
      <c r="AC664" s="42"/>
      <c r="AD664" s="42"/>
    </row>
    <row r="665" ht="15.75" customHeight="1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42"/>
      <c r="AB665" s="42"/>
      <c r="AC665" s="42"/>
      <c r="AD665" s="42"/>
    </row>
    <row r="666" ht="15.75" customHeight="1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42"/>
      <c r="AB666" s="42"/>
      <c r="AC666" s="42"/>
      <c r="AD666" s="42"/>
    </row>
    <row r="667" ht="15.75" customHeight="1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42"/>
      <c r="AB667" s="42"/>
      <c r="AC667" s="42"/>
      <c r="AD667" s="42"/>
    </row>
    <row r="668" ht="15.75" customHeight="1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  <c r="AA668" s="42"/>
      <c r="AB668" s="42"/>
      <c r="AC668" s="42"/>
      <c r="AD668" s="42"/>
    </row>
    <row r="669" ht="15.75" customHeight="1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42"/>
      <c r="AB669" s="42"/>
      <c r="AC669" s="42"/>
      <c r="AD669" s="42"/>
    </row>
    <row r="670" ht="15.75" customHeight="1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42"/>
      <c r="AB670" s="42"/>
      <c r="AC670" s="42"/>
      <c r="AD670" s="42"/>
    </row>
    <row r="671" ht="15.75" customHeight="1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  <c r="AA671" s="42"/>
      <c r="AB671" s="42"/>
      <c r="AC671" s="42"/>
      <c r="AD671" s="42"/>
    </row>
    <row r="672" ht="15.75" customHeight="1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  <c r="AB672" s="42"/>
      <c r="AC672" s="42"/>
      <c r="AD672" s="42"/>
    </row>
    <row r="673" ht="15.75" customHeight="1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  <c r="AB673" s="42"/>
      <c r="AC673" s="42"/>
      <c r="AD673" s="42"/>
    </row>
    <row r="674" ht="15.75" customHeight="1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42"/>
      <c r="AB674" s="42"/>
      <c r="AC674" s="42"/>
      <c r="AD674" s="42"/>
    </row>
    <row r="675" ht="15.75" customHeight="1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42"/>
      <c r="AB675" s="42"/>
      <c r="AC675" s="42"/>
      <c r="AD675" s="42"/>
    </row>
    <row r="676" ht="15.75" customHeight="1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42"/>
      <c r="AB676" s="42"/>
      <c r="AC676" s="42"/>
      <c r="AD676" s="42"/>
    </row>
    <row r="677" ht="15.75" customHeight="1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42"/>
      <c r="AB677" s="42"/>
      <c r="AC677" s="42"/>
      <c r="AD677" s="42"/>
    </row>
    <row r="678" ht="15.75" customHeight="1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42"/>
      <c r="AB678" s="42"/>
      <c r="AC678" s="42"/>
      <c r="AD678" s="42"/>
    </row>
    <row r="679" ht="15.75" customHeight="1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42"/>
      <c r="AB679" s="42"/>
      <c r="AC679" s="42"/>
      <c r="AD679" s="42"/>
    </row>
    <row r="680" ht="15.75" customHeight="1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  <c r="AA680" s="42"/>
      <c r="AB680" s="42"/>
      <c r="AC680" s="42"/>
      <c r="AD680" s="42"/>
    </row>
    <row r="681" ht="15.75" customHeight="1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42"/>
      <c r="AB681" s="42"/>
      <c r="AC681" s="42"/>
      <c r="AD681" s="42"/>
    </row>
    <row r="682" ht="15.75" customHeight="1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  <c r="AA682" s="42"/>
      <c r="AB682" s="42"/>
      <c r="AC682" s="42"/>
      <c r="AD682" s="42"/>
    </row>
    <row r="683" ht="15.75" customHeight="1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42"/>
      <c r="AB683" s="42"/>
      <c r="AC683" s="42"/>
      <c r="AD683" s="42"/>
    </row>
    <row r="684" ht="15.75" customHeight="1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  <c r="AB684" s="42"/>
      <c r="AC684" s="42"/>
      <c r="AD684" s="42"/>
    </row>
    <row r="685" ht="15.75" customHeight="1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  <c r="AA685" s="42"/>
      <c r="AB685" s="42"/>
      <c r="AC685" s="42"/>
      <c r="AD685" s="42"/>
    </row>
    <row r="686" ht="15.75" customHeight="1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42"/>
      <c r="AB686" s="42"/>
      <c r="AC686" s="42"/>
      <c r="AD686" s="42"/>
    </row>
    <row r="687" ht="15.75" customHeight="1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</row>
    <row r="688" ht="15.75" customHeight="1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  <c r="AA688" s="42"/>
      <c r="AB688" s="42"/>
      <c r="AC688" s="42"/>
      <c r="AD688" s="42"/>
    </row>
    <row r="689" ht="15.75" customHeight="1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42"/>
      <c r="AB689" s="42"/>
      <c r="AC689" s="42"/>
      <c r="AD689" s="42"/>
    </row>
    <row r="690" ht="15.75" customHeight="1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42"/>
      <c r="AB690" s="42"/>
      <c r="AC690" s="42"/>
      <c r="AD690" s="42"/>
    </row>
    <row r="691" ht="15.75" customHeight="1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  <c r="AB691" s="42"/>
      <c r="AC691" s="42"/>
      <c r="AD691" s="42"/>
    </row>
    <row r="692" ht="15.75" customHeight="1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42"/>
      <c r="AB692" s="42"/>
      <c r="AC692" s="42"/>
      <c r="AD692" s="42"/>
    </row>
    <row r="693" ht="15.75" customHeight="1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  <c r="AB693" s="42"/>
      <c r="AC693" s="42"/>
      <c r="AD693" s="42"/>
    </row>
    <row r="694" ht="15.75" customHeight="1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42"/>
      <c r="AB694" s="42"/>
      <c r="AC694" s="42"/>
      <c r="AD694" s="42"/>
    </row>
    <row r="695" ht="15.75" customHeight="1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  <c r="AA695" s="42"/>
      <c r="AB695" s="42"/>
      <c r="AC695" s="42"/>
      <c r="AD695" s="42"/>
    </row>
    <row r="696" ht="15.75" customHeight="1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42"/>
      <c r="AB696" s="42"/>
      <c r="AC696" s="42"/>
      <c r="AD696" s="42"/>
    </row>
    <row r="697" ht="15.75" customHeight="1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42"/>
      <c r="AB697" s="42"/>
      <c r="AC697" s="42"/>
      <c r="AD697" s="42"/>
    </row>
    <row r="698" ht="15.75" customHeight="1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42"/>
      <c r="AB698" s="42"/>
      <c r="AC698" s="42"/>
      <c r="AD698" s="42"/>
    </row>
    <row r="699" ht="15.75" customHeight="1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42"/>
      <c r="AB699" s="42"/>
      <c r="AC699" s="42"/>
      <c r="AD699" s="42"/>
    </row>
    <row r="700" ht="15.75" customHeight="1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42"/>
      <c r="AB700" s="42"/>
      <c r="AC700" s="42"/>
      <c r="AD700" s="42"/>
    </row>
    <row r="701" ht="15.75" customHeight="1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42"/>
      <c r="AB701" s="42"/>
      <c r="AC701" s="42"/>
      <c r="AD701" s="42"/>
    </row>
    <row r="702" ht="15.75" customHeight="1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  <c r="AA702" s="42"/>
      <c r="AB702" s="42"/>
      <c r="AC702" s="42"/>
      <c r="AD702" s="42"/>
    </row>
    <row r="703" ht="15.75" customHeight="1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  <c r="AA703" s="42"/>
      <c r="AB703" s="42"/>
      <c r="AC703" s="42"/>
      <c r="AD703" s="42"/>
    </row>
    <row r="704" ht="15.75" customHeight="1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42"/>
      <c r="AB704" s="42"/>
      <c r="AC704" s="42"/>
      <c r="AD704" s="42"/>
    </row>
    <row r="705" ht="15.75" customHeight="1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  <c r="AA705" s="42"/>
      <c r="AB705" s="42"/>
      <c r="AC705" s="42"/>
      <c r="AD705" s="42"/>
    </row>
    <row r="706" ht="15.75" customHeight="1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42"/>
      <c r="AB706" s="42"/>
      <c r="AC706" s="42"/>
      <c r="AD706" s="42"/>
    </row>
    <row r="707" ht="15.75" customHeight="1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42"/>
      <c r="AB707" s="42"/>
      <c r="AC707" s="42"/>
      <c r="AD707" s="42"/>
    </row>
    <row r="708" ht="15.75" customHeight="1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42"/>
      <c r="AB708" s="42"/>
      <c r="AC708" s="42"/>
      <c r="AD708" s="42"/>
    </row>
    <row r="709" ht="15.75" customHeight="1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42"/>
      <c r="AB709" s="42"/>
      <c r="AC709" s="42"/>
      <c r="AD709" s="42"/>
    </row>
    <row r="710" ht="15.75" customHeight="1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42"/>
      <c r="AB710" s="42"/>
      <c r="AC710" s="42"/>
      <c r="AD710" s="42"/>
    </row>
    <row r="711" ht="15.75" customHeight="1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</row>
    <row r="712" ht="15.75" customHeight="1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42"/>
      <c r="AB712" s="42"/>
      <c r="AC712" s="42"/>
      <c r="AD712" s="42"/>
    </row>
    <row r="713" ht="15.75" customHeight="1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42"/>
      <c r="AB713" s="42"/>
      <c r="AC713" s="42"/>
      <c r="AD713" s="42"/>
    </row>
    <row r="714" ht="15.75" customHeight="1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42"/>
      <c r="AB714" s="42"/>
      <c r="AC714" s="42"/>
      <c r="AD714" s="42"/>
    </row>
    <row r="715" ht="15.75" customHeight="1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42"/>
      <c r="AB715" s="42"/>
      <c r="AC715" s="42"/>
      <c r="AD715" s="42"/>
    </row>
    <row r="716" ht="15.75" customHeight="1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42"/>
      <c r="AB716" s="42"/>
      <c r="AC716" s="42"/>
      <c r="AD716" s="42"/>
    </row>
    <row r="717" ht="15.75" customHeight="1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42"/>
      <c r="AB717" s="42"/>
      <c r="AC717" s="42"/>
      <c r="AD717" s="42"/>
    </row>
    <row r="718" ht="15.75" customHeight="1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42"/>
      <c r="AB718" s="42"/>
      <c r="AC718" s="42"/>
      <c r="AD718" s="42"/>
    </row>
    <row r="719" ht="15.75" customHeight="1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42"/>
      <c r="AB719" s="42"/>
      <c r="AC719" s="42"/>
      <c r="AD719" s="42"/>
    </row>
    <row r="720" ht="15.75" customHeight="1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42"/>
      <c r="AB720" s="42"/>
      <c r="AC720" s="42"/>
      <c r="AD720" s="42"/>
    </row>
    <row r="721" ht="15.75" customHeight="1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  <c r="AB721" s="42"/>
      <c r="AC721" s="42"/>
      <c r="AD721" s="42"/>
    </row>
    <row r="722" ht="15.75" customHeight="1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  <c r="AA722" s="42"/>
      <c r="AB722" s="42"/>
      <c r="AC722" s="42"/>
      <c r="AD722" s="42"/>
    </row>
    <row r="723" ht="15.75" customHeight="1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  <c r="AB723" s="42"/>
      <c r="AC723" s="42"/>
      <c r="AD723" s="42"/>
    </row>
    <row r="724" ht="15.75" customHeight="1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  <c r="AB724" s="42"/>
      <c r="AC724" s="42"/>
      <c r="AD724" s="42"/>
    </row>
    <row r="725" ht="15.75" customHeight="1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  <c r="AA725" s="42"/>
      <c r="AB725" s="42"/>
      <c r="AC725" s="42"/>
      <c r="AD725" s="42"/>
    </row>
    <row r="726" ht="15.75" customHeight="1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  <c r="AA726" s="42"/>
      <c r="AB726" s="42"/>
      <c r="AC726" s="42"/>
      <c r="AD726" s="42"/>
    </row>
    <row r="727" ht="15.75" customHeight="1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  <c r="AA727" s="42"/>
      <c r="AB727" s="42"/>
      <c r="AC727" s="42"/>
      <c r="AD727" s="42"/>
    </row>
    <row r="728" ht="15.75" customHeight="1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  <c r="AA728" s="42"/>
      <c r="AB728" s="42"/>
      <c r="AC728" s="42"/>
      <c r="AD728" s="42"/>
    </row>
    <row r="729" ht="15.75" customHeight="1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  <c r="AA729" s="42"/>
      <c r="AB729" s="42"/>
      <c r="AC729" s="42"/>
      <c r="AD729" s="42"/>
    </row>
    <row r="730" ht="15.75" customHeight="1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  <c r="AA730" s="42"/>
      <c r="AB730" s="42"/>
      <c r="AC730" s="42"/>
      <c r="AD730" s="42"/>
    </row>
    <row r="731" ht="15.75" customHeight="1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  <c r="AA731" s="42"/>
      <c r="AB731" s="42"/>
      <c r="AC731" s="42"/>
      <c r="AD731" s="42"/>
    </row>
    <row r="732" ht="15.75" customHeight="1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  <c r="AA732" s="42"/>
      <c r="AB732" s="42"/>
      <c r="AC732" s="42"/>
      <c r="AD732" s="42"/>
    </row>
    <row r="733" ht="15.75" customHeight="1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  <c r="AA733" s="42"/>
      <c r="AB733" s="42"/>
      <c r="AC733" s="42"/>
      <c r="AD733" s="42"/>
    </row>
    <row r="734" ht="15.75" customHeight="1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  <c r="AA734" s="42"/>
      <c r="AB734" s="42"/>
      <c r="AC734" s="42"/>
      <c r="AD734" s="42"/>
    </row>
    <row r="735" ht="15.75" customHeight="1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  <c r="AA735" s="42"/>
      <c r="AB735" s="42"/>
      <c r="AC735" s="42"/>
      <c r="AD735" s="42"/>
    </row>
    <row r="736" ht="15.75" customHeight="1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  <c r="AA736" s="42"/>
      <c r="AB736" s="42"/>
      <c r="AC736" s="42"/>
      <c r="AD736" s="42"/>
    </row>
    <row r="737" ht="15.75" customHeight="1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  <c r="AA737" s="42"/>
      <c r="AB737" s="42"/>
      <c r="AC737" s="42"/>
      <c r="AD737" s="42"/>
    </row>
    <row r="738" ht="15.75" customHeight="1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  <c r="AA738" s="42"/>
      <c r="AB738" s="42"/>
      <c r="AC738" s="42"/>
      <c r="AD738" s="42"/>
    </row>
    <row r="739" ht="15.75" customHeight="1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  <c r="AA739" s="42"/>
      <c r="AB739" s="42"/>
      <c r="AC739" s="42"/>
      <c r="AD739" s="42"/>
    </row>
    <row r="740" ht="15.75" customHeight="1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  <c r="AA740" s="42"/>
      <c r="AB740" s="42"/>
      <c r="AC740" s="42"/>
      <c r="AD740" s="42"/>
    </row>
    <row r="741" ht="15.75" customHeight="1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  <c r="AA741" s="42"/>
      <c r="AB741" s="42"/>
      <c r="AC741" s="42"/>
      <c r="AD741" s="42"/>
    </row>
    <row r="742" ht="15.75" customHeight="1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  <c r="AA742" s="42"/>
      <c r="AB742" s="42"/>
      <c r="AC742" s="42"/>
      <c r="AD742" s="42"/>
    </row>
    <row r="743" ht="15.75" customHeight="1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  <c r="AA743" s="42"/>
      <c r="AB743" s="42"/>
      <c r="AC743" s="42"/>
      <c r="AD743" s="42"/>
    </row>
    <row r="744" ht="15.75" customHeight="1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  <c r="AA744" s="42"/>
      <c r="AB744" s="42"/>
      <c r="AC744" s="42"/>
      <c r="AD744" s="42"/>
    </row>
    <row r="745" ht="15.75" customHeight="1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  <c r="AA745" s="42"/>
      <c r="AB745" s="42"/>
      <c r="AC745" s="42"/>
      <c r="AD745" s="42"/>
    </row>
    <row r="746" ht="15.75" customHeight="1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  <c r="AA746" s="42"/>
      <c r="AB746" s="42"/>
      <c r="AC746" s="42"/>
      <c r="AD746" s="42"/>
    </row>
    <row r="747" ht="15.75" customHeight="1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  <c r="AA747" s="42"/>
      <c r="AB747" s="42"/>
      <c r="AC747" s="42"/>
      <c r="AD747" s="42"/>
    </row>
    <row r="748" ht="15.75" customHeight="1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  <c r="AA748" s="42"/>
      <c r="AB748" s="42"/>
      <c r="AC748" s="42"/>
      <c r="AD748" s="42"/>
    </row>
    <row r="749" ht="15.75" customHeight="1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  <c r="AA749" s="42"/>
      <c r="AB749" s="42"/>
      <c r="AC749" s="42"/>
      <c r="AD749" s="42"/>
    </row>
    <row r="750" ht="15.75" customHeight="1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  <c r="AA750" s="42"/>
      <c r="AB750" s="42"/>
      <c r="AC750" s="42"/>
      <c r="AD750" s="42"/>
    </row>
    <row r="751" ht="15.75" customHeight="1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  <c r="AA751" s="42"/>
      <c r="AB751" s="42"/>
      <c r="AC751" s="42"/>
      <c r="AD751" s="42"/>
    </row>
    <row r="752" ht="15.75" customHeight="1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  <c r="AA752" s="42"/>
      <c r="AB752" s="42"/>
      <c r="AC752" s="42"/>
      <c r="AD752" s="42"/>
    </row>
    <row r="753" ht="15.75" customHeight="1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  <c r="AA753" s="42"/>
      <c r="AB753" s="42"/>
      <c r="AC753" s="42"/>
      <c r="AD753" s="42"/>
    </row>
    <row r="754" ht="15.75" customHeight="1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  <c r="AA754" s="42"/>
      <c r="AB754" s="42"/>
      <c r="AC754" s="42"/>
      <c r="AD754" s="42"/>
    </row>
    <row r="755" ht="15.75" customHeight="1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  <c r="AA755" s="42"/>
      <c r="AB755" s="42"/>
      <c r="AC755" s="42"/>
      <c r="AD755" s="42"/>
    </row>
    <row r="756" ht="15.75" customHeight="1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  <c r="AA756" s="42"/>
      <c r="AB756" s="42"/>
      <c r="AC756" s="42"/>
      <c r="AD756" s="42"/>
    </row>
    <row r="757" ht="15.75" customHeight="1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  <c r="AA757" s="42"/>
      <c r="AB757" s="42"/>
      <c r="AC757" s="42"/>
      <c r="AD757" s="42"/>
    </row>
    <row r="758" ht="15.75" customHeight="1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  <c r="AA758" s="42"/>
      <c r="AB758" s="42"/>
      <c r="AC758" s="42"/>
      <c r="AD758" s="42"/>
    </row>
    <row r="759" ht="15.75" customHeight="1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  <c r="AA759" s="42"/>
      <c r="AB759" s="42"/>
      <c r="AC759" s="42"/>
      <c r="AD759" s="42"/>
    </row>
    <row r="760" ht="15.75" customHeight="1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  <c r="AA760" s="42"/>
      <c r="AB760" s="42"/>
      <c r="AC760" s="42"/>
      <c r="AD760" s="42"/>
    </row>
    <row r="761" ht="15.75" customHeight="1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  <c r="AA761" s="42"/>
      <c r="AB761" s="42"/>
      <c r="AC761" s="42"/>
      <c r="AD761" s="42"/>
    </row>
    <row r="762" ht="15.75" customHeight="1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  <c r="AA762" s="42"/>
      <c r="AB762" s="42"/>
      <c r="AC762" s="42"/>
      <c r="AD762" s="42"/>
    </row>
    <row r="763" ht="15.75" customHeight="1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  <c r="AA763" s="42"/>
      <c r="AB763" s="42"/>
      <c r="AC763" s="42"/>
      <c r="AD763" s="42"/>
    </row>
    <row r="764" ht="15.75" customHeight="1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  <c r="AA764" s="42"/>
      <c r="AB764" s="42"/>
      <c r="AC764" s="42"/>
      <c r="AD764" s="42"/>
    </row>
    <row r="765" ht="15.75" customHeight="1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  <c r="AA765" s="42"/>
      <c r="AB765" s="42"/>
      <c r="AC765" s="42"/>
      <c r="AD765" s="42"/>
    </row>
    <row r="766" ht="15.75" customHeight="1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  <c r="AA766" s="42"/>
      <c r="AB766" s="42"/>
      <c r="AC766" s="42"/>
      <c r="AD766" s="42"/>
    </row>
    <row r="767" ht="15.75" customHeight="1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  <c r="AA767" s="42"/>
      <c r="AB767" s="42"/>
      <c r="AC767" s="42"/>
      <c r="AD767" s="42"/>
    </row>
    <row r="768" ht="15.75" customHeight="1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  <c r="AA768" s="42"/>
      <c r="AB768" s="42"/>
      <c r="AC768" s="42"/>
      <c r="AD768" s="42"/>
    </row>
    <row r="769" ht="15.75" customHeight="1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  <c r="AA769" s="42"/>
      <c r="AB769" s="42"/>
      <c r="AC769" s="42"/>
      <c r="AD769" s="42"/>
    </row>
    <row r="770" ht="15.75" customHeight="1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  <c r="AA770" s="42"/>
      <c r="AB770" s="42"/>
      <c r="AC770" s="42"/>
      <c r="AD770" s="42"/>
    </row>
    <row r="771" ht="15.75" customHeight="1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  <c r="AA771" s="42"/>
      <c r="AB771" s="42"/>
      <c r="AC771" s="42"/>
      <c r="AD771" s="42"/>
    </row>
    <row r="772" ht="15.75" customHeight="1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  <c r="AA772" s="42"/>
      <c r="AB772" s="42"/>
      <c r="AC772" s="42"/>
      <c r="AD772" s="42"/>
    </row>
    <row r="773" ht="15.75" customHeight="1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  <c r="AA773" s="42"/>
      <c r="AB773" s="42"/>
      <c r="AC773" s="42"/>
      <c r="AD773" s="42"/>
    </row>
    <row r="774" ht="15.75" customHeight="1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  <c r="AA774" s="42"/>
      <c r="AB774" s="42"/>
      <c r="AC774" s="42"/>
      <c r="AD774" s="42"/>
    </row>
    <row r="775" ht="15.75" customHeight="1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  <c r="AA775" s="42"/>
      <c r="AB775" s="42"/>
      <c r="AC775" s="42"/>
      <c r="AD775" s="42"/>
    </row>
    <row r="776" ht="15.75" customHeight="1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  <c r="AA776" s="42"/>
      <c r="AB776" s="42"/>
      <c r="AC776" s="42"/>
      <c r="AD776" s="42"/>
    </row>
    <row r="777" ht="15.75" customHeight="1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  <c r="AA777" s="42"/>
      <c r="AB777" s="42"/>
      <c r="AC777" s="42"/>
      <c r="AD777" s="42"/>
    </row>
    <row r="778" ht="15.75" customHeight="1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  <c r="AA778" s="42"/>
      <c r="AB778" s="42"/>
      <c r="AC778" s="42"/>
      <c r="AD778" s="42"/>
    </row>
    <row r="779" ht="15.75" customHeight="1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  <c r="AA779" s="42"/>
      <c r="AB779" s="42"/>
      <c r="AC779" s="42"/>
      <c r="AD779" s="42"/>
    </row>
    <row r="780" ht="15.75" customHeight="1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  <c r="AA780" s="42"/>
      <c r="AB780" s="42"/>
      <c r="AC780" s="42"/>
      <c r="AD780" s="42"/>
    </row>
    <row r="781" ht="15.75" customHeight="1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  <c r="AA781" s="42"/>
      <c r="AB781" s="42"/>
      <c r="AC781" s="42"/>
      <c r="AD781" s="42"/>
    </row>
    <row r="782" ht="15.75" customHeight="1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  <c r="AA782" s="42"/>
      <c r="AB782" s="42"/>
      <c r="AC782" s="42"/>
      <c r="AD782" s="42"/>
    </row>
    <row r="783" ht="15.75" customHeight="1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  <c r="AA783" s="42"/>
      <c r="AB783" s="42"/>
      <c r="AC783" s="42"/>
      <c r="AD783" s="42"/>
    </row>
    <row r="784" ht="15.75" customHeight="1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  <c r="AA784" s="42"/>
      <c r="AB784" s="42"/>
      <c r="AC784" s="42"/>
      <c r="AD784" s="42"/>
    </row>
    <row r="785" ht="15.75" customHeight="1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  <c r="AA785" s="42"/>
      <c r="AB785" s="42"/>
      <c r="AC785" s="42"/>
      <c r="AD785" s="42"/>
    </row>
    <row r="786" ht="15.75" customHeight="1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  <c r="AA786" s="42"/>
      <c r="AB786" s="42"/>
      <c r="AC786" s="42"/>
      <c r="AD786" s="42"/>
    </row>
    <row r="787" ht="15.75" customHeight="1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  <c r="AA787" s="42"/>
      <c r="AB787" s="42"/>
      <c r="AC787" s="42"/>
      <c r="AD787" s="42"/>
    </row>
    <row r="788" ht="15.75" customHeight="1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  <c r="AA788" s="42"/>
      <c r="AB788" s="42"/>
      <c r="AC788" s="42"/>
      <c r="AD788" s="42"/>
    </row>
    <row r="789" ht="15.75" customHeight="1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  <c r="AA789" s="42"/>
      <c r="AB789" s="42"/>
      <c r="AC789" s="42"/>
      <c r="AD789" s="42"/>
    </row>
    <row r="790" ht="15.75" customHeight="1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  <c r="AA790" s="42"/>
      <c r="AB790" s="42"/>
      <c r="AC790" s="42"/>
      <c r="AD790" s="42"/>
    </row>
    <row r="791" ht="15.75" customHeight="1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  <c r="AA791" s="42"/>
      <c r="AB791" s="42"/>
      <c r="AC791" s="42"/>
      <c r="AD791" s="42"/>
    </row>
    <row r="792" ht="15.75" customHeight="1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  <c r="AA792" s="42"/>
      <c r="AB792" s="42"/>
      <c r="AC792" s="42"/>
      <c r="AD792" s="42"/>
    </row>
    <row r="793" ht="15.75" customHeight="1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  <c r="AA793" s="42"/>
      <c r="AB793" s="42"/>
      <c r="AC793" s="42"/>
      <c r="AD793" s="42"/>
    </row>
    <row r="794" ht="15.75" customHeight="1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  <c r="AA794" s="42"/>
      <c r="AB794" s="42"/>
      <c r="AC794" s="42"/>
      <c r="AD794" s="42"/>
    </row>
    <row r="795" ht="15.75" customHeight="1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  <c r="AA795" s="42"/>
      <c r="AB795" s="42"/>
      <c r="AC795" s="42"/>
      <c r="AD795" s="42"/>
    </row>
    <row r="796" ht="15.75" customHeight="1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</row>
    <row r="797" ht="15.75" customHeight="1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</row>
    <row r="798" ht="15.75" customHeight="1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</row>
    <row r="799" ht="15.75" customHeight="1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</row>
    <row r="800" ht="15.75" customHeight="1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</row>
    <row r="801" ht="15.75" customHeight="1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</row>
    <row r="802" ht="15.75" customHeight="1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</row>
    <row r="803" ht="15.75" customHeight="1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</row>
    <row r="804" ht="15.75" customHeight="1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</row>
    <row r="805" ht="15.75" customHeight="1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</row>
    <row r="806" ht="15.75" customHeight="1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</row>
    <row r="807" ht="15.75" customHeight="1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</row>
    <row r="808" ht="15.75" customHeight="1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</row>
    <row r="809" ht="15.75" customHeight="1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</row>
    <row r="810" ht="15.75" customHeight="1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</row>
    <row r="811" ht="15.75" customHeight="1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</row>
    <row r="812" ht="15.75" customHeight="1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</row>
    <row r="813" ht="15.75" customHeight="1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</row>
    <row r="814" ht="15.75" customHeight="1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</row>
    <row r="815" ht="15.75" customHeight="1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</row>
    <row r="816" ht="15.75" customHeight="1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</row>
    <row r="817" ht="15.75" customHeight="1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</row>
    <row r="818" ht="15.75" customHeight="1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</row>
    <row r="819" ht="15.75" customHeight="1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</row>
    <row r="820" ht="15.75" customHeight="1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</row>
    <row r="821" ht="15.75" customHeight="1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</row>
    <row r="822" ht="15.75" customHeight="1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</row>
    <row r="823" ht="15.75" customHeight="1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</row>
    <row r="824" ht="15.75" customHeight="1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</row>
    <row r="825" ht="15.75" customHeight="1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</row>
    <row r="826" ht="15.75" customHeight="1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</row>
    <row r="827" ht="15.75" customHeight="1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</row>
    <row r="828" ht="15.75" customHeight="1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</row>
    <row r="829" ht="15.75" customHeight="1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</row>
    <row r="830" ht="15.75" customHeight="1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</row>
    <row r="831" ht="15.75" customHeight="1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</row>
    <row r="832" ht="15.75" customHeight="1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</row>
    <row r="833" ht="15.75" customHeight="1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</row>
    <row r="834" ht="15.75" customHeight="1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</row>
    <row r="835" ht="15.75" customHeight="1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</row>
    <row r="836" ht="15.75" customHeight="1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</row>
    <row r="837" ht="15.75" customHeight="1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</row>
    <row r="838" ht="15.75" customHeight="1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</row>
    <row r="839" ht="15.75" customHeight="1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</row>
    <row r="840" ht="15.75" customHeight="1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</row>
    <row r="841" ht="15.75" customHeight="1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</row>
    <row r="842" ht="15.75" customHeight="1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</row>
    <row r="843" ht="15.75" customHeight="1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</row>
    <row r="844" ht="15.75" customHeight="1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</row>
    <row r="845" ht="15.75" customHeight="1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</row>
    <row r="846" ht="15.75" customHeight="1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</row>
    <row r="847" ht="15.75" customHeight="1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</row>
    <row r="848" ht="15.75" customHeight="1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</row>
    <row r="849" ht="15.75" customHeight="1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</row>
    <row r="850" ht="15.75" customHeight="1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</row>
    <row r="851" ht="15.75" customHeight="1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</row>
    <row r="852" ht="15.75" customHeight="1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</row>
    <row r="853" ht="15.75" customHeight="1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</row>
    <row r="854" ht="15.75" customHeight="1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</row>
    <row r="855" ht="15.75" customHeight="1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</row>
    <row r="856" ht="15.75" customHeight="1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</row>
    <row r="857" ht="15.75" customHeight="1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</row>
    <row r="858" ht="15.75" customHeight="1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</row>
    <row r="859" ht="15.75" customHeight="1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</row>
    <row r="860" ht="15.75" customHeight="1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</row>
    <row r="861" ht="15.75" customHeight="1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</row>
    <row r="862" ht="15.75" customHeight="1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</row>
    <row r="863" ht="15.75" customHeight="1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</row>
    <row r="864" ht="15.75" customHeight="1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</row>
    <row r="865" ht="15.75" customHeight="1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</row>
    <row r="866" ht="15.75" customHeight="1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</row>
    <row r="867" ht="15.75" customHeight="1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</row>
    <row r="868" ht="15.75" customHeight="1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</row>
    <row r="869" ht="15.75" customHeight="1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</row>
    <row r="870" ht="15.75" customHeight="1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</row>
    <row r="871" ht="15.75" customHeight="1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</row>
    <row r="872" ht="15.75" customHeight="1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</row>
    <row r="873" ht="15.75" customHeight="1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</row>
    <row r="874" ht="15.75" customHeight="1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</row>
    <row r="875" ht="15.75" customHeight="1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</row>
    <row r="876" ht="15.75" customHeight="1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</row>
    <row r="877" ht="15.75" customHeight="1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</row>
    <row r="878" ht="15.75" customHeight="1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</row>
    <row r="879" ht="15.75" customHeight="1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</row>
    <row r="880" ht="15.75" customHeight="1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</row>
    <row r="881" ht="15.75" customHeight="1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</row>
    <row r="882" ht="15.75" customHeight="1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</row>
    <row r="883" ht="15.75" customHeight="1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</row>
    <row r="884" ht="15.75" customHeight="1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</row>
    <row r="885" ht="15.75" customHeight="1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</row>
    <row r="886" ht="15.75" customHeight="1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</row>
    <row r="887" ht="15.75" customHeight="1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</row>
    <row r="888" ht="15.75" customHeight="1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</row>
    <row r="889" ht="15.75" customHeight="1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</row>
    <row r="890" ht="15.75" customHeight="1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</row>
    <row r="891" ht="15.75" customHeight="1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</row>
    <row r="892" ht="15.75" customHeight="1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</row>
    <row r="893" ht="15.75" customHeight="1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</row>
    <row r="894" ht="15.75" customHeight="1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</row>
    <row r="895" ht="15.75" customHeight="1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</row>
    <row r="896" ht="15.75" customHeight="1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</row>
    <row r="897" ht="15.75" customHeight="1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</row>
    <row r="898" ht="15.75" customHeight="1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</row>
    <row r="899" ht="15.75" customHeight="1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</row>
    <row r="900" ht="15.75" customHeight="1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</row>
    <row r="901" ht="15.75" customHeight="1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</row>
    <row r="902" ht="15.75" customHeight="1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</row>
    <row r="903" ht="15.75" customHeight="1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</row>
    <row r="904" ht="15.75" customHeight="1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</row>
    <row r="905" ht="15.75" customHeight="1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</row>
    <row r="906" ht="15.75" customHeight="1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</row>
    <row r="907" ht="15.75" customHeight="1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</row>
    <row r="908" ht="15.75" customHeight="1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</row>
    <row r="909" ht="15.75" customHeight="1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</row>
    <row r="910" ht="15.75" customHeight="1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</row>
    <row r="911" ht="15.75" customHeight="1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</row>
    <row r="912" ht="15.75" customHeight="1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</row>
    <row r="913" ht="15.75" customHeight="1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</row>
    <row r="914" ht="15.75" customHeight="1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</row>
    <row r="915" ht="15.75" customHeight="1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</row>
    <row r="916" ht="15.75" customHeight="1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</row>
    <row r="917" ht="15.75" customHeight="1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</row>
    <row r="918" ht="15.75" customHeight="1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</row>
    <row r="919" ht="15.75" customHeight="1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</row>
    <row r="920" ht="15.75" customHeight="1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</row>
    <row r="921" ht="15.75" customHeight="1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</row>
    <row r="922" ht="15.75" customHeight="1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</row>
    <row r="923" ht="15.75" customHeight="1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</row>
    <row r="924" ht="15.75" customHeight="1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</row>
    <row r="925" ht="15.75" customHeight="1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</row>
    <row r="926" ht="15.75" customHeight="1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</row>
    <row r="927" ht="15.75" customHeight="1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</row>
    <row r="928" ht="15.75" customHeight="1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</row>
    <row r="929" ht="15.75" customHeight="1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</row>
    <row r="930" ht="15.75" customHeight="1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</row>
    <row r="931" ht="15.75" customHeight="1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</row>
    <row r="932" ht="15.75" customHeight="1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</row>
    <row r="933" ht="15.75" customHeight="1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</row>
    <row r="934" ht="15.75" customHeight="1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</row>
    <row r="935" ht="15.75" customHeight="1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</row>
    <row r="936" ht="15.75" customHeight="1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</row>
    <row r="937" ht="15.75" customHeight="1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</row>
    <row r="938" ht="15.75" customHeight="1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</row>
    <row r="939" ht="15.75" customHeight="1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</row>
    <row r="940" ht="15.75" customHeight="1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</row>
    <row r="941" ht="15.75" customHeight="1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</row>
    <row r="942" ht="15.75" customHeight="1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</row>
    <row r="943" ht="15.75" customHeight="1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</row>
    <row r="944" ht="15.75" customHeight="1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</row>
    <row r="945" ht="15.75" customHeight="1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</row>
    <row r="946" ht="15.75" customHeight="1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</row>
    <row r="947" ht="15.75" customHeight="1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</row>
    <row r="948" ht="15.75" customHeight="1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</row>
    <row r="949" ht="15.75" customHeight="1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</row>
    <row r="950" ht="15.75" customHeight="1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</row>
    <row r="951" ht="15.75" customHeight="1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</row>
    <row r="952" ht="15.75" customHeight="1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</row>
    <row r="953" ht="15.75" customHeight="1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</row>
    <row r="954" ht="15.75" customHeight="1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</row>
    <row r="955" ht="15.75" customHeight="1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</row>
    <row r="956" ht="15.75" customHeight="1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</row>
    <row r="957" ht="15.75" customHeight="1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</row>
    <row r="958" ht="15.75" customHeight="1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</row>
    <row r="959" ht="15.75" customHeight="1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</row>
    <row r="960" ht="15.75" customHeight="1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</row>
    <row r="961" ht="15.75" customHeight="1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</row>
    <row r="962" ht="15.75" customHeight="1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</row>
    <row r="963" ht="15.75" customHeight="1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</row>
    <row r="964" ht="15.75" customHeight="1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</row>
    <row r="965" ht="15.75" customHeight="1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</row>
    <row r="966" ht="15.75" customHeight="1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</row>
    <row r="967" ht="15.75" customHeight="1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</row>
    <row r="968" ht="15.75" customHeight="1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</row>
    <row r="969" ht="15.75" customHeight="1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</row>
    <row r="970" ht="15.75" customHeight="1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</row>
    <row r="971" ht="15.75" customHeight="1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</row>
    <row r="972" ht="15.75" customHeight="1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</row>
    <row r="973" ht="15.75" customHeight="1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</row>
    <row r="974" ht="15.75" customHeight="1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</row>
    <row r="975" ht="15.75" customHeight="1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</row>
    <row r="976" ht="15.75" customHeight="1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</row>
    <row r="977" ht="15.75" customHeight="1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</row>
    <row r="978" ht="15.75" customHeight="1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</row>
    <row r="979" ht="15.75" customHeight="1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</row>
    <row r="980" ht="15.75" customHeight="1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</row>
    <row r="981" ht="15.75" customHeight="1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</row>
    <row r="982" ht="15.75" customHeight="1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</row>
    <row r="983" ht="15.75" customHeight="1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</row>
    <row r="984" ht="15.75" customHeight="1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</row>
    <row r="985" ht="15.75" customHeight="1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</row>
    <row r="986" ht="15.75" customHeight="1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</row>
    <row r="987" ht="15.75" customHeight="1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</row>
    <row r="988" ht="15.75" customHeight="1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</row>
    <row r="989" ht="15.75" customHeight="1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</row>
    <row r="990" ht="15.75" customHeight="1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</row>
    <row r="991" ht="15.75" customHeight="1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</row>
    <row r="992" ht="15.75" customHeight="1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</row>
    <row r="993" ht="15.75" customHeight="1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</row>
    <row r="994" ht="15.75" customHeight="1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</row>
    <row r="995" ht="15.75" customHeight="1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</row>
    <row r="996" ht="15.75" customHeight="1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</row>
    <row r="997" ht="15.75" customHeight="1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</row>
    <row r="998" ht="15.75" customHeight="1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</row>
    <row r="999" ht="15.75" customHeight="1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</row>
    <row r="1000" ht="15.75" customHeight="1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</row>
  </sheetData>
  <mergeCells count="14">
    <mergeCell ref="K9:K12"/>
    <mergeCell ref="P9:P12"/>
    <mergeCell ref="U9:U12"/>
    <mergeCell ref="Z9:Z12"/>
    <mergeCell ref="A9:A12"/>
    <mergeCell ref="A25:B25"/>
    <mergeCell ref="A1:J1"/>
    <mergeCell ref="A2:J2"/>
    <mergeCell ref="A4:C4"/>
    <mergeCell ref="A5:C5"/>
    <mergeCell ref="A6:C6"/>
    <mergeCell ref="F9:F12"/>
    <mergeCell ref="E16:I29"/>
    <mergeCell ref="A26:B26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outlinePr summaryBelow="0" summaryRight="0"/>
    <pageSetUpPr/>
  </sheetPr>
  <sheetViews>
    <sheetView workbookViewId="0"/>
  </sheetViews>
  <sheetFormatPr customHeight="1" defaultColWidth="14.43" defaultRowHeight="15.0"/>
  <cols>
    <col customWidth="1" min="1" max="3" width="14.43"/>
    <col customWidth="1" min="4" max="4" width="111.14"/>
    <col customWidth="1" min="5" max="18" width="14.43"/>
  </cols>
  <sheetData>
    <row r="1" ht="15.0" customHeight="1">
      <c r="A1" s="70" t="s">
        <v>148</v>
      </c>
      <c r="B1" s="2"/>
      <c r="C1" s="2"/>
      <c r="D1" s="2"/>
      <c r="E1" s="2"/>
      <c r="F1" s="2"/>
      <c r="G1" s="2"/>
      <c r="H1" s="2"/>
      <c r="I1" s="2"/>
      <c r="J1" s="71"/>
      <c r="K1" s="71"/>
      <c r="L1" s="71"/>
      <c r="M1" s="71"/>
      <c r="N1" s="71"/>
      <c r="O1" s="71"/>
      <c r="P1" s="71"/>
      <c r="Q1" s="71"/>
      <c r="R1" s="71"/>
      <c r="S1" s="72"/>
      <c r="T1" s="72"/>
      <c r="U1" s="72"/>
      <c r="V1" s="72"/>
      <c r="W1" s="72"/>
      <c r="X1" s="72"/>
      <c r="Y1" s="72"/>
      <c r="Z1" s="72"/>
    </row>
    <row r="2" ht="15.0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</row>
    <row r="3" ht="15.0" customHeight="1">
      <c r="A3" s="72" t="s">
        <v>149</v>
      </c>
      <c r="E3" s="73" t="s">
        <v>150</v>
      </c>
      <c r="F3" s="74"/>
      <c r="G3" s="75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</row>
    <row r="4" ht="15.0" customHeight="1">
      <c r="A4" s="76"/>
      <c r="E4" s="77"/>
      <c r="F4" s="77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</row>
    <row r="5" ht="15.0" customHeight="1">
      <c r="E5" s="77"/>
      <c r="F5" s="77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ht="15.0" customHeight="1">
      <c r="E6" s="77"/>
      <c r="F6" s="77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ht="15.0" customHeight="1">
      <c r="E7" s="77"/>
      <c r="F7" s="77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ht="15.0" customHeight="1">
      <c r="E8" s="77"/>
      <c r="F8" s="77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ht="15.0" customHeight="1">
      <c r="E9" s="77"/>
      <c r="F9" s="77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ht="15.0" customHeight="1">
      <c r="E10" s="77"/>
      <c r="F10" s="77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ht="15.0" customHeight="1">
      <c r="E11" s="77"/>
      <c r="F11" s="77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ht="15.0" customHeight="1">
      <c r="E12" s="77"/>
      <c r="F12" s="77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ht="15.0" customHeight="1">
      <c r="E13" s="77"/>
      <c r="F13" s="77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ht="15.0" customHeight="1">
      <c r="E14" s="77"/>
      <c r="F14" s="77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ht="15.0" customHeight="1">
      <c r="E15" s="77"/>
      <c r="F15" s="77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ht="15.0" customHeight="1">
      <c r="A18" s="72" t="s">
        <v>151</v>
      </c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ht="15.0" customHeight="1">
      <c r="A19" s="76"/>
      <c r="E19" s="77"/>
      <c r="F19" s="77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ht="15.0" customHeight="1">
      <c r="E20" s="77"/>
      <c r="F20" s="77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ht="15.0" customHeight="1">
      <c r="E21" s="77"/>
      <c r="F21" s="77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ht="15.0" customHeight="1">
      <c r="E22" s="77"/>
      <c r="F22" s="77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ht="15.0" customHeight="1">
      <c r="E23" s="77"/>
      <c r="F23" s="77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ht="15.0" customHeight="1">
      <c r="E24" s="77"/>
      <c r="F24" s="77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ht="15.0" customHeight="1">
      <c r="E25" s="77"/>
      <c r="F25" s="77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ht="15.0" customHeight="1">
      <c r="E26" s="77"/>
      <c r="F26" s="77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ht="15.0" customHeight="1">
      <c r="E27" s="77"/>
      <c r="F27" s="77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ht="15.0" customHeight="1">
      <c r="E28" s="77"/>
      <c r="F28" s="77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ht="15.0" customHeight="1">
      <c r="E29" s="77"/>
      <c r="F29" s="77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ht="15.0" customHeight="1">
      <c r="E30" s="77"/>
      <c r="F30" s="77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ht="15.0" customHeight="1"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ht="15.75" customHeight="1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ht="15.75" customHeight="1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ht="15.0" customHeight="1">
      <c r="A34" s="72" t="s">
        <v>152</v>
      </c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ht="15.0" customHeight="1">
      <c r="A35" s="76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ht="15.0" customHeight="1"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ht="15.0" customHeight="1"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ht="15.0" customHeight="1"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ht="15.0" customHeight="1"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ht="15.0" customHeight="1"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ht="15.0" customHeight="1"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ht="15.0" customHeight="1"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ht="15.0" customHeight="1"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ht="15.0" customHeight="1"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ht="15.0" customHeight="1"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ht="15.0" customHeight="1"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ht="15.0" customHeight="1"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ht="15.75" customHeight="1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ht="15.75" customHeight="1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ht="15.0" customHeight="1">
      <c r="A50" s="72" t="s">
        <v>153</v>
      </c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ht="15.0" customHeight="1">
      <c r="A51" s="78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ht="15.0" customHeight="1"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ht="15.0" customHeight="1"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ht="15.0" customHeight="1"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ht="15.0" customHeight="1"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ht="15.0" customHeight="1"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ht="15.0" customHeight="1"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ht="15.0" customHeight="1"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ht="15.0" customHeight="1"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ht="15.0" customHeight="1"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ht="15.0" customHeight="1"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ht="15.0" customHeight="1"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ht="15.75" customHeight="1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ht="15.75" customHeight="1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ht="15.75" customHeight="1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ht="15.75" customHeight="1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ht="15.75" customHeight="1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ht="15.75" customHeight="1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ht="15.75" customHeight="1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ht="15.75" customHeight="1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ht="15.75" customHeight="1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ht="15.75" customHeight="1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ht="15.75" customHeight="1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ht="15.75" customHeight="1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ht="15.75" customHeight="1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ht="15.75" customHeight="1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ht="15.75" customHeight="1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ht="15.75" customHeight="1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ht="15.75" customHeight="1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ht="15.75" customHeight="1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ht="15.75" customHeight="1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ht="15.75" customHeight="1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ht="15.75" customHeight="1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ht="15.75" customHeight="1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ht="15.75" customHeight="1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ht="15.75" customHeight="1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ht="15.75" customHeight="1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ht="15.75" customHeight="1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ht="15.75" customHeight="1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ht="15.75" customHeight="1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ht="15.75" customHeight="1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ht="15.75" customHeight="1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ht="15.75" customHeight="1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ht="15.75" customHeight="1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ht="15.75" customHeight="1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ht="15.75" customHeight="1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ht="15.75" customHeight="1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ht="15.75" customHeight="1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ht="15.75" customHeight="1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ht="15.75" customHeight="1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ht="15.75" customHeight="1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ht="15.75" customHeight="1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ht="15.75" customHeight="1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ht="15.75" customHeight="1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ht="15.75" customHeight="1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ht="15.75" customHeight="1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ht="15.75" customHeight="1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ht="15.75" customHeight="1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ht="15.75" customHeight="1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ht="15.75" customHeight="1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ht="15.75" customHeight="1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ht="15.75" customHeight="1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ht="15.75" customHeight="1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ht="15.75" customHeight="1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ht="15.75" customHeight="1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ht="15.75" customHeight="1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ht="15.75" customHeight="1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ht="15.75" customHeight="1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ht="15.75" customHeight="1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ht="15.75" customHeight="1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ht="15.75" customHeight="1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ht="15.75" customHeight="1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ht="15.75" customHeight="1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ht="15.75" customHeight="1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ht="15.75" customHeight="1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ht="15.75" customHeight="1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ht="15.75" customHeight="1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ht="15.75" customHeight="1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ht="15.75" customHeight="1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ht="15.75" customHeight="1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ht="15.75" customHeight="1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ht="15.75" customHeight="1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ht="15.75" customHeight="1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ht="15.75" customHeight="1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ht="15.75" customHeight="1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ht="15.75" customHeight="1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ht="15.75" customHeight="1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ht="15.75" customHeight="1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ht="15.75" customHeight="1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ht="15.75" customHeight="1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ht="15.75" customHeight="1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ht="15.75" customHeight="1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ht="15.75" customHeight="1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ht="15.75" customHeight="1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ht="15.75" customHeight="1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ht="15.75" customHeight="1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ht="15.75" customHeight="1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ht="15.75" customHeight="1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ht="15.75" customHeight="1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ht="15.75" customHeight="1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ht="15.75" customHeight="1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ht="15.75" customHeight="1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ht="15.75" customHeight="1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ht="15.75" customHeight="1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ht="15.75" customHeight="1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ht="15.75" customHeight="1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ht="15.75" customHeight="1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ht="15.75" customHeight="1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ht="15.75" customHeight="1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ht="15.75" customHeight="1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ht="15.75" customHeight="1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ht="15.75" customHeight="1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ht="15.75" customHeight="1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ht="15.75" customHeight="1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ht="15.75" customHeight="1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ht="15.75" customHeight="1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ht="15.75" customHeight="1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ht="15.75" customHeight="1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ht="15.75" customHeight="1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ht="15.75" customHeight="1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ht="15.75" customHeight="1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ht="15.75" customHeight="1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ht="15.75" customHeight="1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ht="15.75" customHeight="1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ht="15.75" customHeight="1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ht="15.75" customHeight="1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ht="15.75" customHeight="1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ht="15.75" customHeight="1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ht="15.75" customHeight="1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ht="15.75" customHeight="1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ht="15.75" customHeight="1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ht="15.75" customHeight="1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ht="15.75" customHeight="1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ht="15.75" customHeight="1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ht="15.75" customHeight="1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ht="15.75" customHeight="1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ht="15.75" customHeight="1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ht="15.75" customHeight="1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ht="15.75" customHeight="1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ht="15.75" customHeight="1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ht="15.75" customHeight="1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ht="15.75" customHeight="1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ht="15.75" customHeight="1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ht="15.75" customHeight="1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ht="15.75" customHeight="1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ht="15.75" customHeight="1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ht="15.75" customHeight="1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ht="15.75" customHeight="1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ht="15.75" customHeight="1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ht="15.75" customHeight="1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ht="15.75" customHeight="1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ht="15.75" customHeight="1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ht="15.75" customHeight="1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ht="15.75" customHeight="1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ht="15.75" customHeight="1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ht="15.75" customHeight="1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ht="15.75" customHeight="1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ht="15.75" customHeight="1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ht="15.75" customHeight="1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ht="15.75" customHeight="1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ht="15.75" customHeight="1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ht="15.75" customHeight="1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ht="15.75" customHeight="1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ht="15.75" customHeight="1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ht="15.75" customHeight="1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ht="15.75" customHeight="1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ht="15.75" customHeight="1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ht="15.75" customHeight="1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ht="15.75" customHeight="1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ht="15.75" customHeight="1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ht="15.75" customHeight="1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ht="15.75" customHeight="1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ht="15.75" customHeight="1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ht="15.75" customHeight="1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ht="15.75" customHeight="1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ht="15.75" customHeight="1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ht="15.75" customHeight="1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ht="15.75" customHeight="1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ht="15.75" customHeight="1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ht="15.75" customHeight="1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ht="15.75" customHeight="1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ht="15.75" customHeight="1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ht="15.75" customHeight="1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ht="15.75" customHeight="1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ht="15.75" customHeight="1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ht="15.75" customHeight="1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ht="15.75" customHeight="1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ht="15.75" customHeight="1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ht="15.75" customHeight="1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ht="15.75" customHeight="1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ht="15.75" customHeight="1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ht="15.75" customHeight="1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ht="15.75" customHeight="1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ht="15.75" customHeight="1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ht="15.75" customHeight="1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ht="15.75" customHeight="1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ht="15.75" customHeight="1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ht="15.75" customHeight="1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ht="15.75" customHeight="1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ht="15.75" customHeight="1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ht="15.75" customHeight="1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ht="15.75" customHeight="1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ht="15.75" customHeight="1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ht="15.75" customHeight="1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ht="15.75" customHeight="1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ht="15.75" customHeight="1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ht="15.75" customHeight="1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ht="15.75" customHeight="1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ht="15.75" customHeight="1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ht="15.75" customHeight="1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ht="15.75" customHeight="1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ht="15.75" customHeight="1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ht="15.75" customHeight="1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ht="15.75" customHeight="1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ht="15.75" customHeight="1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ht="15.75" customHeight="1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ht="15.75" customHeight="1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ht="15.75" customHeight="1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ht="15.75" customHeight="1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ht="15.75" customHeight="1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ht="15.75" customHeight="1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ht="15.75" customHeight="1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ht="15.75" customHeight="1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ht="15.75" customHeight="1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ht="15.75" customHeight="1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ht="15.75" customHeight="1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ht="15.75" customHeight="1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ht="15.75" customHeight="1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ht="15.75" customHeight="1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ht="15.75" customHeight="1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ht="15.75" customHeight="1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ht="15.75" customHeight="1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ht="15.75" customHeight="1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ht="15.75" customHeight="1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ht="15.75" customHeight="1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ht="15.75" customHeight="1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ht="15.75" customHeight="1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ht="15.75" customHeight="1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ht="15.75" customHeight="1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ht="15.75" customHeight="1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ht="15.75" customHeight="1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ht="15.75" customHeight="1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ht="15.75" customHeight="1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ht="15.75" customHeight="1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ht="15.75" customHeight="1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ht="15.75" customHeight="1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ht="15.75" customHeight="1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ht="15.75" customHeight="1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ht="15.75" customHeight="1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ht="15.75" customHeight="1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ht="15.75" customHeight="1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ht="15.75" customHeight="1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ht="15.75" customHeight="1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ht="15.75" customHeight="1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ht="15.75" customHeight="1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ht="15.75" customHeight="1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ht="15.75" customHeight="1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ht="15.75" customHeight="1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ht="15.75" customHeight="1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ht="15.75" customHeight="1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ht="15.75" customHeight="1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ht="15.75" customHeight="1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ht="15.75" customHeight="1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ht="15.75" customHeight="1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ht="15.75" customHeight="1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ht="15.75" customHeight="1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ht="15.75" customHeight="1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ht="15.75" customHeight="1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ht="15.75" customHeight="1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ht="15.75" customHeight="1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ht="15.75" customHeight="1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ht="15.75" customHeight="1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ht="15.75" customHeight="1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ht="15.75" customHeight="1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ht="15.75" customHeight="1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ht="15.75" customHeight="1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ht="15.75" customHeight="1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ht="15.75" customHeight="1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ht="15.75" customHeight="1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ht="15.75" customHeight="1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ht="15.75" customHeight="1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ht="15.75" customHeight="1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ht="15.75" customHeight="1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ht="15.75" customHeight="1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ht="15.75" customHeight="1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ht="15.75" customHeight="1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ht="15.75" customHeight="1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ht="15.75" customHeight="1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ht="15.75" customHeight="1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ht="15.75" customHeight="1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ht="15.75" customHeight="1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ht="15.75" customHeight="1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ht="15.75" customHeight="1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ht="15.75" customHeight="1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ht="15.75" customHeight="1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ht="15.75" customHeight="1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ht="15.75" customHeight="1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ht="15.75" customHeight="1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ht="15.75" customHeight="1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ht="15.75" customHeight="1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ht="15.75" customHeight="1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ht="15.75" customHeight="1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ht="15.75" customHeight="1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ht="15.75" customHeight="1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ht="15.75" customHeight="1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ht="15.75" customHeight="1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ht="15.75" customHeight="1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ht="15.75" customHeight="1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ht="15.75" customHeight="1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ht="15.75" customHeight="1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ht="15.75" customHeight="1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ht="15.75" customHeight="1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ht="15.75" customHeight="1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ht="15.75" customHeight="1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ht="15.75" customHeight="1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ht="15.75" customHeight="1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ht="15.75" customHeight="1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ht="15.75" customHeight="1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ht="15.75" customHeight="1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ht="15.75" customHeight="1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ht="15.75" customHeight="1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ht="15.75" customHeight="1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ht="15.75" customHeight="1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ht="15.75" customHeight="1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ht="15.75" customHeight="1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ht="15.75" customHeight="1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ht="15.75" customHeight="1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ht="15.75" customHeight="1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ht="15.75" customHeight="1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ht="15.75" customHeight="1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ht="15.75" customHeight="1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ht="15.75" customHeight="1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ht="15.75" customHeight="1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ht="15.75" customHeight="1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ht="15.75" customHeight="1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ht="15.75" customHeight="1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ht="15.75" customHeight="1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ht="15.75" customHeight="1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ht="15.75" customHeight="1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ht="15.75" customHeight="1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ht="15.75" customHeight="1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ht="15.75" customHeight="1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ht="15.75" customHeight="1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ht="15.75" customHeight="1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ht="15.75" customHeight="1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ht="15.75" customHeight="1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ht="15.75" customHeight="1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ht="15.75" customHeight="1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ht="15.75" customHeight="1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ht="15.75" customHeight="1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ht="15.75" customHeight="1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ht="15.75" customHeight="1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ht="15.75" customHeight="1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ht="15.75" customHeight="1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ht="15.75" customHeight="1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ht="15.75" customHeight="1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ht="15.75" customHeight="1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ht="15.75" customHeight="1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ht="15.75" customHeight="1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ht="15.75" customHeight="1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ht="15.75" customHeight="1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ht="15.75" customHeight="1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ht="15.75" customHeight="1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ht="15.75" customHeight="1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ht="15.75" customHeight="1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ht="15.75" customHeight="1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ht="15.75" customHeight="1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ht="15.75" customHeight="1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ht="15.75" customHeight="1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ht="15.75" customHeight="1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ht="15.75" customHeight="1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ht="15.75" customHeight="1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ht="15.75" customHeight="1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ht="15.75" customHeight="1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ht="15.75" customHeight="1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ht="15.75" customHeight="1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ht="15.75" customHeight="1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ht="15.75" customHeight="1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ht="15.75" customHeight="1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ht="15.75" customHeight="1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ht="15.75" customHeight="1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ht="15.75" customHeight="1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ht="15.75" customHeight="1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ht="15.75" customHeight="1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ht="15.75" customHeight="1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ht="15.75" customHeight="1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ht="15.75" customHeight="1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ht="15.75" customHeight="1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ht="15.75" customHeight="1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ht="15.75" customHeight="1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ht="15.75" customHeight="1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ht="15.75" customHeight="1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ht="15.75" customHeight="1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ht="15.75" customHeight="1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ht="15.75" customHeight="1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ht="15.75" customHeight="1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ht="15.75" customHeight="1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ht="15.75" customHeight="1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ht="15.75" customHeight="1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ht="15.75" customHeight="1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ht="15.75" customHeight="1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ht="15.75" customHeight="1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ht="15.75" customHeight="1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ht="15.75" customHeight="1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ht="15.75" customHeight="1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ht="15.75" customHeight="1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ht="15.75" customHeight="1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ht="15.75" customHeight="1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ht="15.75" customHeight="1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ht="15.75" customHeight="1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ht="15.75" customHeight="1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ht="15.75" customHeight="1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ht="15.75" customHeight="1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ht="15.75" customHeight="1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ht="15.75" customHeight="1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ht="15.75" customHeight="1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ht="15.75" customHeight="1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ht="15.75" customHeight="1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ht="15.75" customHeight="1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ht="15.75" customHeight="1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ht="15.75" customHeight="1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ht="15.75" customHeight="1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ht="15.75" customHeight="1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ht="15.75" customHeight="1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ht="15.75" customHeight="1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ht="15.75" customHeight="1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ht="15.75" customHeight="1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ht="15.75" customHeight="1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ht="15.75" customHeight="1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ht="15.75" customHeight="1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ht="15.75" customHeight="1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ht="15.75" customHeight="1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ht="15.75" customHeight="1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ht="15.75" customHeight="1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ht="15.75" customHeight="1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ht="15.75" customHeight="1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ht="15.75" customHeight="1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ht="15.75" customHeight="1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ht="15.75" customHeight="1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ht="15.75" customHeight="1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ht="15.75" customHeight="1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ht="15.75" customHeight="1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ht="15.75" customHeight="1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ht="15.75" customHeight="1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ht="15.75" customHeight="1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ht="15.75" customHeight="1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ht="15.75" customHeight="1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ht="15.75" customHeight="1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ht="15.75" customHeight="1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ht="15.75" customHeight="1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ht="15.75" customHeight="1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ht="15.75" customHeight="1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ht="15.75" customHeight="1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ht="15.75" customHeight="1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ht="15.75" customHeight="1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ht="15.75" customHeight="1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ht="15.75" customHeight="1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ht="15.75" customHeight="1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ht="15.75" customHeight="1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ht="15.75" customHeight="1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ht="15.75" customHeight="1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ht="15.75" customHeight="1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ht="15.75" customHeight="1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ht="15.75" customHeight="1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ht="15.75" customHeight="1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ht="15.75" customHeight="1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ht="15.75" customHeight="1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ht="15.75" customHeight="1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ht="15.75" customHeight="1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ht="15.75" customHeight="1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ht="15.75" customHeight="1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ht="15.75" customHeight="1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ht="15.75" customHeight="1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ht="15.75" customHeight="1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ht="15.75" customHeight="1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ht="15.75" customHeight="1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ht="15.75" customHeight="1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ht="15.75" customHeight="1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ht="15.75" customHeight="1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ht="15.75" customHeight="1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ht="15.75" customHeight="1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ht="15.75" customHeight="1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ht="15.75" customHeight="1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ht="15.75" customHeight="1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ht="15.75" customHeight="1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ht="15.75" customHeight="1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ht="15.75" customHeight="1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ht="15.75" customHeight="1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ht="15.75" customHeight="1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ht="15.75" customHeight="1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ht="15.75" customHeight="1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ht="15.75" customHeight="1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ht="15.75" customHeight="1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ht="15.75" customHeight="1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ht="15.75" customHeight="1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ht="15.75" customHeight="1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ht="15.75" customHeight="1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ht="15.75" customHeight="1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ht="15.75" customHeight="1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ht="15.75" customHeight="1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ht="15.75" customHeight="1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ht="15.75" customHeight="1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ht="15.75" customHeight="1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ht="15.75" customHeight="1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ht="15.75" customHeight="1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ht="15.75" customHeight="1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ht="15.75" customHeight="1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ht="15.75" customHeight="1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ht="15.75" customHeight="1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ht="15.75" customHeight="1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ht="15.75" customHeight="1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ht="15.75" customHeight="1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ht="15.75" customHeight="1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ht="15.75" customHeight="1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ht="15.75" customHeight="1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ht="15.75" customHeight="1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ht="15.75" customHeight="1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ht="15.75" customHeight="1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ht="15.75" customHeight="1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ht="15.75" customHeight="1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ht="15.75" customHeight="1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ht="15.75" customHeight="1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ht="15.75" customHeight="1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ht="15.75" customHeight="1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ht="15.75" customHeight="1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ht="15.75" customHeight="1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ht="15.75" customHeight="1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ht="15.75" customHeight="1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ht="15.75" customHeight="1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ht="15.75" customHeight="1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ht="15.75" customHeight="1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ht="15.75" customHeight="1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ht="15.75" customHeight="1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ht="15.75" customHeight="1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ht="15.75" customHeight="1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ht="15.75" customHeight="1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ht="15.75" customHeight="1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ht="15.75" customHeight="1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ht="15.75" customHeight="1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ht="15.75" customHeight="1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ht="15.75" customHeight="1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ht="15.75" customHeight="1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ht="15.75" customHeight="1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ht="15.75" customHeight="1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ht="15.75" customHeight="1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ht="15.75" customHeight="1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ht="15.75" customHeight="1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ht="15.75" customHeight="1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ht="15.75" customHeight="1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ht="15.75" customHeight="1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ht="15.75" customHeight="1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  <row r="602" ht="15.75" customHeight="1">
      <c r="A602" s="72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</row>
    <row r="603" ht="15.75" customHeight="1">
      <c r="A603" s="72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</row>
    <row r="604" ht="15.75" customHeight="1">
      <c r="A604" s="72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</row>
    <row r="605" ht="15.75" customHeight="1">
      <c r="A605" s="72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</row>
    <row r="606" ht="15.75" customHeight="1">
      <c r="A606" s="72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</row>
    <row r="607" ht="15.75" customHeight="1">
      <c r="A607" s="72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</row>
    <row r="608" ht="15.75" customHeight="1">
      <c r="A608" s="72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</row>
    <row r="609" ht="15.75" customHeight="1">
      <c r="A609" s="72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</row>
    <row r="610" ht="15.75" customHeight="1">
      <c r="A610" s="72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</row>
    <row r="611" ht="15.75" customHeight="1">
      <c r="A611" s="72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</row>
    <row r="612" ht="15.75" customHeight="1">
      <c r="A612" s="72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</row>
    <row r="613" ht="15.75" customHeight="1">
      <c r="A613" s="72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</row>
    <row r="614" ht="15.75" customHeight="1">
      <c r="A614" s="72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</row>
    <row r="615" ht="15.75" customHeight="1">
      <c r="A615" s="72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</row>
    <row r="616" ht="15.75" customHeight="1">
      <c r="A616" s="72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</row>
    <row r="617" ht="15.75" customHeight="1">
      <c r="A617" s="72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</row>
    <row r="618" ht="15.75" customHeight="1">
      <c r="A618" s="72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</row>
    <row r="619" ht="15.75" customHeight="1">
      <c r="A619" s="72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</row>
    <row r="620" ht="15.75" customHeight="1">
      <c r="A620" s="72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</row>
    <row r="621" ht="15.75" customHeight="1">
      <c r="A621" s="72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</row>
    <row r="622" ht="15.75" customHeight="1">
      <c r="A622" s="72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</row>
    <row r="623" ht="15.75" customHeight="1">
      <c r="A623" s="72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</row>
    <row r="624" ht="15.75" customHeight="1">
      <c r="A624" s="72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</row>
    <row r="625" ht="15.75" customHeight="1">
      <c r="A625" s="72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</row>
    <row r="626" ht="15.75" customHeight="1">
      <c r="A626" s="72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</row>
    <row r="627" ht="15.75" customHeight="1">
      <c r="A627" s="72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</row>
    <row r="628" ht="15.75" customHeight="1">
      <c r="A628" s="72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</row>
    <row r="629" ht="15.75" customHeight="1">
      <c r="A629" s="72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</row>
    <row r="630" ht="15.75" customHeight="1">
      <c r="A630" s="72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</row>
    <row r="631" ht="15.75" customHeight="1">
      <c r="A631" s="72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</row>
    <row r="632" ht="15.75" customHeight="1">
      <c r="A632" s="72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</row>
    <row r="633" ht="15.75" customHeight="1">
      <c r="A633" s="72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</row>
    <row r="634" ht="15.75" customHeight="1">
      <c r="A634" s="72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</row>
    <row r="635" ht="15.75" customHeight="1">
      <c r="A635" s="72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</row>
    <row r="636" ht="15.75" customHeight="1">
      <c r="A636" s="72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</row>
    <row r="637" ht="15.75" customHeight="1">
      <c r="A637" s="72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</row>
    <row r="638" ht="15.75" customHeight="1">
      <c r="A638" s="72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</row>
    <row r="639" ht="15.75" customHeight="1">
      <c r="A639" s="72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</row>
    <row r="640" ht="15.75" customHeight="1">
      <c r="A640" s="72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</row>
    <row r="641" ht="15.75" customHeight="1">
      <c r="A641" s="72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</row>
    <row r="642" ht="15.75" customHeight="1">
      <c r="A642" s="72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</row>
    <row r="643" ht="15.75" customHeight="1">
      <c r="A643" s="72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</row>
    <row r="644" ht="15.75" customHeight="1">
      <c r="A644" s="72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</row>
    <row r="645" ht="15.75" customHeight="1">
      <c r="A645" s="72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</row>
    <row r="646" ht="15.75" customHeight="1">
      <c r="A646" s="72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</row>
    <row r="647" ht="15.75" customHeight="1">
      <c r="A647" s="72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</row>
    <row r="648" ht="15.75" customHeight="1">
      <c r="A648" s="72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</row>
    <row r="649" ht="15.75" customHeight="1">
      <c r="A649" s="72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</row>
    <row r="650" ht="15.75" customHeight="1">
      <c r="A650" s="72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</row>
    <row r="651" ht="15.75" customHeight="1">
      <c r="A651" s="72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</row>
    <row r="652" ht="15.75" customHeight="1">
      <c r="A652" s="72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</row>
    <row r="653" ht="15.75" customHeight="1">
      <c r="A653" s="72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</row>
    <row r="654" ht="15.75" customHeight="1">
      <c r="A654" s="72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</row>
    <row r="655" ht="15.75" customHeight="1">
      <c r="A655" s="72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</row>
    <row r="656" ht="15.75" customHeight="1">
      <c r="A656" s="72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</row>
    <row r="657" ht="15.75" customHeight="1">
      <c r="A657" s="72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</row>
    <row r="658" ht="15.75" customHeight="1">
      <c r="A658" s="72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</row>
    <row r="659" ht="15.75" customHeight="1">
      <c r="A659" s="72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</row>
    <row r="660" ht="15.75" customHeight="1">
      <c r="A660" s="72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</row>
    <row r="661" ht="15.75" customHeight="1">
      <c r="A661" s="72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</row>
    <row r="662" ht="15.75" customHeight="1">
      <c r="A662" s="72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</row>
    <row r="663" ht="15.75" customHeight="1">
      <c r="A663" s="72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</row>
    <row r="664" ht="15.75" customHeight="1">
      <c r="A664" s="72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</row>
    <row r="665" ht="15.75" customHeight="1">
      <c r="A665" s="72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</row>
    <row r="666" ht="15.75" customHeight="1">
      <c r="A666" s="72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</row>
    <row r="667" ht="15.75" customHeight="1">
      <c r="A667" s="72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</row>
    <row r="668" ht="15.75" customHeight="1">
      <c r="A668" s="72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</row>
    <row r="669" ht="15.75" customHeight="1">
      <c r="A669" s="72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</row>
    <row r="670" ht="15.75" customHeight="1">
      <c r="A670" s="72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</row>
    <row r="671" ht="15.75" customHeight="1">
      <c r="A671" s="72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</row>
    <row r="672" ht="15.75" customHeight="1">
      <c r="A672" s="72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</row>
    <row r="673" ht="15.75" customHeight="1">
      <c r="A673" s="72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</row>
    <row r="674" ht="15.75" customHeight="1">
      <c r="A674" s="72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</row>
    <row r="675" ht="15.75" customHeight="1">
      <c r="A675" s="72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</row>
    <row r="676" ht="15.75" customHeight="1">
      <c r="A676" s="72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</row>
    <row r="677" ht="15.75" customHeight="1">
      <c r="A677" s="72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</row>
    <row r="678" ht="15.75" customHeight="1">
      <c r="A678" s="72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</row>
    <row r="679" ht="15.75" customHeight="1">
      <c r="A679" s="72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</row>
    <row r="680" ht="15.75" customHeight="1">
      <c r="A680" s="72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</row>
    <row r="681" ht="15.75" customHeight="1">
      <c r="A681" s="72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</row>
    <row r="682" ht="15.75" customHeight="1">
      <c r="A682" s="72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</row>
    <row r="683" ht="15.75" customHeight="1">
      <c r="A683" s="72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</row>
    <row r="684" ht="15.75" customHeight="1">
      <c r="A684" s="72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</row>
    <row r="685" ht="15.75" customHeight="1">
      <c r="A685" s="72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</row>
    <row r="686" ht="15.75" customHeight="1">
      <c r="A686" s="72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</row>
    <row r="687" ht="15.75" customHeight="1">
      <c r="A687" s="72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</row>
    <row r="688" ht="15.75" customHeight="1">
      <c r="A688" s="72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</row>
    <row r="689" ht="15.75" customHeight="1">
      <c r="A689" s="72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</row>
    <row r="690" ht="15.75" customHeight="1">
      <c r="A690" s="72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</row>
    <row r="691" ht="15.75" customHeight="1">
      <c r="A691" s="72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</row>
    <row r="692" ht="15.75" customHeight="1">
      <c r="A692" s="72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</row>
    <row r="693" ht="15.75" customHeight="1">
      <c r="A693" s="72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</row>
    <row r="694" ht="15.75" customHeight="1">
      <c r="A694" s="72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</row>
    <row r="695" ht="15.75" customHeight="1">
      <c r="A695" s="72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</row>
    <row r="696" ht="15.75" customHeight="1">
      <c r="A696" s="72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</row>
    <row r="697" ht="15.75" customHeight="1">
      <c r="A697" s="72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</row>
    <row r="698" ht="15.75" customHeight="1">
      <c r="A698" s="72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</row>
    <row r="699" ht="15.75" customHeight="1">
      <c r="A699" s="72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</row>
    <row r="700" ht="15.75" customHeight="1">
      <c r="A700" s="72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</row>
    <row r="701" ht="15.75" customHeight="1">
      <c r="A701" s="72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</row>
    <row r="702" ht="15.75" customHeight="1">
      <c r="A702" s="72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</row>
    <row r="703" ht="15.75" customHeight="1">
      <c r="A703" s="72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</row>
    <row r="704" ht="15.75" customHeight="1">
      <c r="A704" s="72"/>
      <c r="B704" s="72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</row>
    <row r="705" ht="15.75" customHeight="1">
      <c r="A705" s="72"/>
      <c r="B705" s="72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</row>
    <row r="706" ht="15.75" customHeight="1">
      <c r="A706" s="72"/>
      <c r="B706" s="72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</row>
    <row r="707" ht="15.75" customHeight="1">
      <c r="A707" s="72"/>
      <c r="B707" s="72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</row>
    <row r="708" ht="15.75" customHeight="1">
      <c r="A708" s="72"/>
      <c r="B708" s="72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</row>
    <row r="709" ht="15.75" customHeight="1">
      <c r="A709" s="72"/>
      <c r="B709" s="72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</row>
    <row r="710" ht="15.75" customHeight="1">
      <c r="A710" s="72"/>
      <c r="B710" s="72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</row>
    <row r="711" ht="15.75" customHeight="1">
      <c r="A711" s="72"/>
      <c r="B711" s="72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</row>
    <row r="712" ht="15.75" customHeight="1">
      <c r="A712" s="72"/>
      <c r="B712" s="72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</row>
    <row r="713" ht="15.75" customHeight="1">
      <c r="A713" s="72"/>
      <c r="B713" s="72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</row>
    <row r="714" ht="15.75" customHeight="1">
      <c r="A714" s="72"/>
      <c r="B714" s="72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</row>
    <row r="715" ht="15.75" customHeight="1">
      <c r="A715" s="72"/>
      <c r="B715" s="72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</row>
    <row r="716" ht="15.75" customHeight="1">
      <c r="A716" s="72"/>
      <c r="B716" s="72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</row>
    <row r="717" ht="15.75" customHeight="1">
      <c r="A717" s="72"/>
      <c r="B717" s="72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</row>
    <row r="718" ht="15.75" customHeight="1">
      <c r="A718" s="72"/>
      <c r="B718" s="72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</row>
    <row r="719" ht="15.75" customHeight="1">
      <c r="A719" s="72"/>
      <c r="B719" s="72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</row>
    <row r="720" ht="15.75" customHeight="1">
      <c r="A720" s="72"/>
      <c r="B720" s="72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</row>
    <row r="721" ht="15.75" customHeight="1">
      <c r="A721" s="72"/>
      <c r="B721" s="72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</row>
    <row r="722" ht="15.75" customHeight="1">
      <c r="A722" s="72"/>
      <c r="B722" s="72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</row>
    <row r="723" ht="15.75" customHeight="1">
      <c r="A723" s="72"/>
      <c r="B723" s="72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</row>
    <row r="724" ht="15.75" customHeight="1">
      <c r="A724" s="72"/>
      <c r="B724" s="72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</row>
    <row r="725" ht="15.75" customHeight="1">
      <c r="A725" s="72"/>
      <c r="B725" s="72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</row>
    <row r="726" ht="15.75" customHeight="1">
      <c r="A726" s="72"/>
      <c r="B726" s="72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</row>
    <row r="727" ht="15.75" customHeight="1">
      <c r="A727" s="72"/>
      <c r="B727" s="72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</row>
    <row r="728" ht="15.75" customHeight="1">
      <c r="A728" s="72"/>
      <c r="B728" s="72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</row>
    <row r="729" ht="15.75" customHeight="1">
      <c r="A729" s="72"/>
      <c r="B729" s="72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</row>
    <row r="730" ht="15.75" customHeight="1">
      <c r="A730" s="72"/>
      <c r="B730" s="72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</row>
    <row r="731" ht="15.75" customHeight="1">
      <c r="A731" s="72"/>
      <c r="B731" s="72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</row>
    <row r="732" ht="15.75" customHeight="1">
      <c r="A732" s="72"/>
      <c r="B732" s="72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</row>
    <row r="733" ht="15.75" customHeight="1">
      <c r="A733" s="72"/>
      <c r="B733" s="72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</row>
    <row r="734" ht="15.75" customHeight="1">
      <c r="A734" s="72"/>
      <c r="B734" s="72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</row>
    <row r="735" ht="15.75" customHeight="1">
      <c r="A735" s="72"/>
      <c r="B735" s="72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</row>
    <row r="736" ht="15.75" customHeight="1">
      <c r="A736" s="72"/>
      <c r="B736" s="72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</row>
    <row r="737" ht="15.75" customHeight="1">
      <c r="A737" s="72"/>
      <c r="B737" s="72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</row>
    <row r="738" ht="15.75" customHeight="1">
      <c r="A738" s="72"/>
      <c r="B738" s="72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</row>
    <row r="739" ht="15.75" customHeight="1">
      <c r="A739" s="72"/>
      <c r="B739" s="72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</row>
    <row r="740" ht="15.75" customHeight="1">
      <c r="A740" s="72"/>
      <c r="B740" s="72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</row>
    <row r="741" ht="15.75" customHeight="1">
      <c r="A741" s="72"/>
      <c r="B741" s="72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</row>
    <row r="742" ht="15.75" customHeight="1">
      <c r="A742" s="72"/>
      <c r="B742" s="72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</row>
    <row r="743" ht="15.75" customHeight="1">
      <c r="A743" s="72"/>
      <c r="B743" s="72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</row>
    <row r="744" ht="15.75" customHeight="1">
      <c r="A744" s="72"/>
      <c r="B744" s="72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</row>
    <row r="745" ht="15.75" customHeight="1">
      <c r="A745" s="72"/>
      <c r="B745" s="72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</row>
    <row r="746" ht="15.75" customHeight="1">
      <c r="A746" s="72"/>
      <c r="B746" s="72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</row>
    <row r="747" ht="15.75" customHeight="1">
      <c r="A747" s="72"/>
      <c r="B747" s="72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</row>
    <row r="748" ht="15.75" customHeight="1">
      <c r="A748" s="72"/>
      <c r="B748" s="72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</row>
    <row r="749" ht="15.75" customHeight="1">
      <c r="A749" s="72"/>
      <c r="B749" s="72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</row>
    <row r="750" ht="15.75" customHeight="1">
      <c r="A750" s="72"/>
      <c r="B750" s="72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</row>
    <row r="751" ht="15.75" customHeight="1">
      <c r="A751" s="72"/>
      <c r="B751" s="72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</row>
    <row r="752" ht="15.75" customHeight="1">
      <c r="A752" s="72"/>
      <c r="B752" s="72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</row>
    <row r="753" ht="15.75" customHeight="1">
      <c r="A753" s="72"/>
      <c r="B753" s="72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</row>
    <row r="754" ht="15.75" customHeight="1">
      <c r="A754" s="72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</row>
    <row r="755" ht="15.75" customHeight="1">
      <c r="A755" s="72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</row>
    <row r="756" ht="15.75" customHeight="1">
      <c r="A756" s="72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</row>
    <row r="757" ht="15.75" customHeight="1">
      <c r="A757" s="72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</row>
    <row r="758" ht="15.75" customHeight="1">
      <c r="A758" s="72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</row>
    <row r="759" ht="15.75" customHeight="1">
      <c r="A759" s="72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</row>
    <row r="760" ht="15.75" customHeight="1">
      <c r="A760" s="72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</row>
    <row r="761" ht="15.75" customHeight="1">
      <c r="A761" s="72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</row>
    <row r="762" ht="15.75" customHeight="1">
      <c r="A762" s="72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</row>
    <row r="763" ht="15.75" customHeight="1">
      <c r="A763" s="72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</row>
    <row r="764" ht="15.75" customHeight="1">
      <c r="A764" s="72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</row>
    <row r="765" ht="15.75" customHeight="1">
      <c r="A765" s="72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</row>
    <row r="766" ht="15.75" customHeight="1">
      <c r="A766" s="72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</row>
    <row r="767" ht="15.75" customHeight="1">
      <c r="A767" s="72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</row>
    <row r="768" ht="15.75" customHeight="1">
      <c r="A768" s="72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</row>
    <row r="769" ht="15.75" customHeight="1">
      <c r="A769" s="72"/>
      <c r="B769" s="72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</row>
    <row r="770" ht="15.75" customHeight="1">
      <c r="A770" s="72"/>
      <c r="B770" s="72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</row>
    <row r="771" ht="15.75" customHeight="1">
      <c r="A771" s="72"/>
      <c r="B771" s="72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</row>
    <row r="772" ht="15.75" customHeight="1">
      <c r="A772" s="72"/>
      <c r="B772" s="72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</row>
    <row r="773" ht="15.75" customHeight="1">
      <c r="A773" s="72"/>
      <c r="B773" s="72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</row>
    <row r="774" ht="15.75" customHeight="1">
      <c r="A774" s="72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</row>
    <row r="775" ht="15.75" customHeight="1">
      <c r="A775" s="72"/>
      <c r="B775" s="72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</row>
    <row r="776" ht="15.75" customHeight="1">
      <c r="A776" s="72"/>
      <c r="B776" s="72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</row>
    <row r="777" ht="15.75" customHeight="1">
      <c r="A777" s="72"/>
      <c r="B777" s="72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</row>
    <row r="778" ht="15.75" customHeight="1">
      <c r="A778" s="72"/>
      <c r="B778" s="72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</row>
    <row r="779" ht="15.75" customHeight="1">
      <c r="A779" s="72"/>
      <c r="B779" s="72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</row>
    <row r="780" ht="15.75" customHeight="1">
      <c r="A780" s="72"/>
      <c r="B780" s="72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</row>
    <row r="781" ht="15.75" customHeight="1">
      <c r="A781" s="72"/>
      <c r="B781" s="72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</row>
    <row r="782" ht="15.75" customHeight="1">
      <c r="A782" s="72"/>
      <c r="B782" s="72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</row>
    <row r="783" ht="15.75" customHeight="1">
      <c r="A783" s="72"/>
      <c r="B783" s="72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</row>
    <row r="784" ht="15.75" customHeight="1">
      <c r="A784" s="72"/>
      <c r="B784" s="72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</row>
    <row r="785" ht="15.75" customHeight="1">
      <c r="A785" s="72"/>
      <c r="B785" s="72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</row>
    <row r="786" ht="15.75" customHeight="1">
      <c r="A786" s="72"/>
      <c r="B786" s="72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</row>
    <row r="787" ht="15.75" customHeight="1">
      <c r="A787" s="72"/>
      <c r="B787" s="72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</row>
    <row r="788" ht="15.75" customHeight="1">
      <c r="A788" s="72"/>
      <c r="B788" s="72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</row>
    <row r="789" ht="15.75" customHeight="1">
      <c r="A789" s="72"/>
      <c r="B789" s="72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</row>
    <row r="790" ht="15.75" customHeight="1">
      <c r="A790" s="72"/>
      <c r="B790" s="72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</row>
    <row r="791" ht="15.75" customHeight="1">
      <c r="A791" s="72"/>
      <c r="B791" s="72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</row>
    <row r="792" ht="15.75" customHeight="1">
      <c r="A792" s="72"/>
      <c r="B792" s="72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</row>
    <row r="793" ht="15.75" customHeight="1">
      <c r="A793" s="72"/>
      <c r="B793" s="72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</row>
    <row r="794" ht="15.75" customHeight="1">
      <c r="A794" s="72"/>
      <c r="B794" s="72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</row>
    <row r="795" ht="15.75" customHeight="1">
      <c r="A795" s="72"/>
      <c r="B795" s="72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</row>
    <row r="796" ht="15.75" customHeight="1">
      <c r="A796" s="72"/>
      <c r="B796" s="72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</row>
    <row r="797" ht="15.75" customHeight="1">
      <c r="A797" s="72"/>
      <c r="B797" s="72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</row>
    <row r="798" ht="15.75" customHeight="1">
      <c r="A798" s="72"/>
      <c r="B798" s="72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</row>
    <row r="799" ht="15.75" customHeight="1">
      <c r="A799" s="72"/>
      <c r="B799" s="72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</row>
    <row r="800" ht="15.75" customHeight="1">
      <c r="A800" s="72"/>
      <c r="B800" s="72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</row>
    <row r="801" ht="15.75" customHeight="1">
      <c r="A801" s="72"/>
      <c r="B801" s="72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</row>
    <row r="802" ht="15.75" customHeight="1">
      <c r="A802" s="72"/>
      <c r="B802" s="72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</row>
    <row r="803" ht="15.75" customHeight="1">
      <c r="A803" s="72"/>
      <c r="B803" s="72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</row>
    <row r="804" ht="15.75" customHeight="1">
      <c r="A804" s="72"/>
      <c r="B804" s="72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</row>
    <row r="805" ht="15.75" customHeight="1">
      <c r="A805" s="72"/>
      <c r="B805" s="72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</row>
    <row r="806" ht="15.75" customHeight="1">
      <c r="A806" s="72"/>
      <c r="B806" s="72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</row>
    <row r="807" ht="15.75" customHeight="1">
      <c r="A807" s="72"/>
      <c r="B807" s="72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</row>
    <row r="808" ht="15.75" customHeight="1">
      <c r="A808" s="72"/>
      <c r="B808" s="72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</row>
    <row r="809" ht="15.75" customHeight="1">
      <c r="A809" s="72"/>
      <c r="B809" s="72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</row>
    <row r="810" ht="15.75" customHeight="1">
      <c r="A810" s="72"/>
      <c r="B810" s="72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</row>
    <row r="811" ht="15.75" customHeight="1">
      <c r="A811" s="72"/>
      <c r="B811" s="72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</row>
    <row r="812" ht="15.75" customHeight="1">
      <c r="A812" s="72"/>
      <c r="B812" s="72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</row>
    <row r="813" ht="15.75" customHeight="1">
      <c r="A813" s="72"/>
      <c r="B813" s="72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</row>
    <row r="814" ht="15.75" customHeight="1">
      <c r="A814" s="72"/>
      <c r="B814" s="72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</row>
    <row r="815" ht="15.75" customHeight="1">
      <c r="A815" s="72"/>
      <c r="B815" s="72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</row>
    <row r="816" ht="15.75" customHeight="1">
      <c r="A816" s="72"/>
      <c r="B816" s="72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</row>
    <row r="817" ht="15.75" customHeight="1">
      <c r="A817" s="72"/>
      <c r="B817" s="72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</row>
    <row r="818" ht="15.75" customHeight="1">
      <c r="A818" s="72"/>
      <c r="B818" s="72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</row>
    <row r="819" ht="15.75" customHeight="1">
      <c r="A819" s="72"/>
      <c r="B819" s="72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</row>
    <row r="820" ht="15.75" customHeight="1">
      <c r="A820" s="72"/>
      <c r="B820" s="72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</row>
    <row r="821" ht="15.75" customHeight="1">
      <c r="A821" s="72"/>
      <c r="B821" s="72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</row>
    <row r="822" ht="15.75" customHeight="1">
      <c r="A822" s="72"/>
      <c r="B822" s="72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</row>
    <row r="823" ht="15.75" customHeight="1">
      <c r="A823" s="72"/>
      <c r="B823" s="72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</row>
    <row r="824" ht="15.75" customHeight="1">
      <c r="A824" s="72"/>
      <c r="B824" s="72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</row>
    <row r="825" ht="15.75" customHeight="1">
      <c r="A825" s="72"/>
      <c r="B825" s="72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</row>
    <row r="826" ht="15.75" customHeight="1">
      <c r="A826" s="72"/>
      <c r="B826" s="72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</row>
    <row r="827" ht="15.75" customHeight="1">
      <c r="A827" s="72"/>
      <c r="B827" s="72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</row>
    <row r="828" ht="15.75" customHeight="1">
      <c r="A828" s="72"/>
      <c r="B828" s="72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</row>
    <row r="829" ht="15.75" customHeight="1">
      <c r="A829" s="72"/>
      <c r="B829" s="72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</row>
    <row r="830" ht="15.75" customHeight="1">
      <c r="A830" s="72"/>
      <c r="B830" s="72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</row>
    <row r="831" ht="15.75" customHeight="1">
      <c r="A831" s="72"/>
      <c r="B831" s="72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</row>
    <row r="832" ht="15.75" customHeight="1">
      <c r="A832" s="72"/>
      <c r="B832" s="72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</row>
    <row r="833" ht="15.75" customHeight="1">
      <c r="A833" s="72"/>
      <c r="B833" s="72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</row>
    <row r="834" ht="15.75" customHeight="1">
      <c r="A834" s="72"/>
      <c r="B834" s="72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</row>
    <row r="835" ht="15.75" customHeight="1">
      <c r="A835" s="72"/>
      <c r="B835" s="72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</row>
    <row r="836" ht="15.75" customHeight="1">
      <c r="A836" s="72"/>
      <c r="B836" s="72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</row>
    <row r="837" ht="15.75" customHeight="1">
      <c r="A837" s="72"/>
      <c r="B837" s="72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</row>
    <row r="838" ht="15.75" customHeight="1">
      <c r="A838" s="72"/>
      <c r="B838" s="72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</row>
    <row r="839" ht="15.75" customHeight="1">
      <c r="A839" s="72"/>
      <c r="B839" s="72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</row>
    <row r="840" ht="15.75" customHeight="1">
      <c r="A840" s="72"/>
      <c r="B840" s="72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</row>
    <row r="841" ht="15.75" customHeight="1">
      <c r="A841" s="72"/>
      <c r="B841" s="72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</row>
    <row r="842" ht="15.75" customHeight="1">
      <c r="A842" s="72"/>
      <c r="B842" s="72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</row>
    <row r="843" ht="15.75" customHeight="1">
      <c r="A843" s="72"/>
      <c r="B843" s="72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</row>
    <row r="844" ht="15.75" customHeight="1">
      <c r="A844" s="72"/>
      <c r="B844" s="72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</row>
    <row r="845" ht="15.75" customHeight="1">
      <c r="A845" s="72"/>
      <c r="B845" s="72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</row>
    <row r="846" ht="15.75" customHeight="1">
      <c r="A846" s="72"/>
      <c r="B846" s="72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</row>
    <row r="847" ht="15.75" customHeight="1">
      <c r="A847" s="72"/>
      <c r="B847" s="72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</row>
    <row r="848" ht="15.75" customHeight="1">
      <c r="A848" s="72"/>
      <c r="B848" s="72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</row>
    <row r="849" ht="15.75" customHeight="1">
      <c r="A849" s="72"/>
      <c r="B849" s="72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</row>
    <row r="850" ht="15.75" customHeight="1">
      <c r="A850" s="72"/>
      <c r="B850" s="72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</row>
    <row r="851" ht="15.75" customHeight="1">
      <c r="A851" s="72"/>
      <c r="B851" s="72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</row>
    <row r="852" ht="15.75" customHeight="1">
      <c r="A852" s="72"/>
      <c r="B852" s="72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</row>
    <row r="853" ht="15.75" customHeight="1">
      <c r="A853" s="72"/>
      <c r="B853" s="72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</row>
    <row r="854" ht="15.75" customHeight="1">
      <c r="A854" s="72"/>
      <c r="B854" s="72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</row>
    <row r="855" ht="15.75" customHeight="1">
      <c r="A855" s="72"/>
      <c r="B855" s="72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</row>
    <row r="856" ht="15.75" customHeight="1">
      <c r="A856" s="72"/>
      <c r="B856" s="72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</row>
    <row r="857" ht="15.75" customHeight="1">
      <c r="A857" s="72"/>
      <c r="B857" s="72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</row>
    <row r="858" ht="15.75" customHeight="1">
      <c r="A858" s="72"/>
      <c r="B858" s="72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</row>
    <row r="859" ht="15.75" customHeight="1">
      <c r="A859" s="72"/>
      <c r="B859" s="72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</row>
    <row r="860" ht="15.75" customHeight="1">
      <c r="A860" s="72"/>
      <c r="B860" s="72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</row>
    <row r="861" ht="15.75" customHeight="1">
      <c r="A861" s="72"/>
      <c r="B861" s="72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</row>
    <row r="862" ht="15.75" customHeight="1">
      <c r="A862" s="72"/>
      <c r="B862" s="72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</row>
    <row r="863" ht="15.75" customHeight="1">
      <c r="A863" s="72"/>
      <c r="B863" s="72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</row>
    <row r="864" ht="15.75" customHeight="1">
      <c r="A864" s="72"/>
      <c r="B864" s="72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</row>
    <row r="865" ht="15.75" customHeight="1">
      <c r="A865" s="72"/>
      <c r="B865" s="72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</row>
    <row r="866" ht="15.75" customHeight="1">
      <c r="A866" s="72"/>
      <c r="B866" s="72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</row>
    <row r="867" ht="15.75" customHeight="1">
      <c r="A867" s="72"/>
      <c r="B867" s="72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</row>
    <row r="868" ht="15.75" customHeight="1">
      <c r="A868" s="72"/>
      <c r="B868" s="72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</row>
    <row r="869" ht="15.75" customHeight="1">
      <c r="A869" s="72"/>
      <c r="B869" s="72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</row>
    <row r="870" ht="15.75" customHeight="1">
      <c r="A870" s="72"/>
      <c r="B870" s="72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</row>
    <row r="871" ht="15.75" customHeight="1">
      <c r="A871" s="72"/>
      <c r="B871" s="72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</row>
    <row r="872" ht="15.75" customHeight="1">
      <c r="A872" s="72"/>
      <c r="B872" s="72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</row>
    <row r="873" ht="15.75" customHeight="1">
      <c r="A873" s="72"/>
      <c r="B873" s="72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</row>
    <row r="874" ht="15.75" customHeight="1">
      <c r="A874" s="72"/>
      <c r="B874" s="72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</row>
    <row r="875" ht="15.75" customHeight="1">
      <c r="A875" s="72"/>
      <c r="B875" s="72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</row>
    <row r="876" ht="15.75" customHeight="1">
      <c r="A876" s="72"/>
      <c r="B876" s="72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</row>
    <row r="877" ht="15.75" customHeight="1">
      <c r="A877" s="72"/>
      <c r="B877" s="72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</row>
    <row r="878" ht="15.75" customHeight="1">
      <c r="A878" s="72"/>
      <c r="B878" s="72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</row>
    <row r="879" ht="15.75" customHeight="1">
      <c r="A879" s="72"/>
      <c r="B879" s="72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</row>
    <row r="880" ht="15.75" customHeight="1">
      <c r="A880" s="72"/>
      <c r="B880" s="72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</row>
    <row r="881" ht="15.75" customHeight="1">
      <c r="A881" s="72"/>
      <c r="B881" s="72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</row>
    <row r="882" ht="15.75" customHeight="1">
      <c r="A882" s="72"/>
      <c r="B882" s="72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</row>
    <row r="883" ht="15.75" customHeight="1">
      <c r="A883" s="72"/>
      <c r="B883" s="72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</row>
    <row r="884" ht="15.75" customHeight="1">
      <c r="A884" s="72"/>
      <c r="B884" s="72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</row>
    <row r="885" ht="15.75" customHeight="1">
      <c r="A885" s="72"/>
      <c r="B885" s="72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</row>
    <row r="886" ht="15.75" customHeight="1">
      <c r="A886" s="72"/>
      <c r="B886" s="72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</row>
    <row r="887" ht="15.75" customHeight="1">
      <c r="A887" s="72"/>
      <c r="B887" s="72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</row>
    <row r="888" ht="15.75" customHeight="1">
      <c r="A888" s="72"/>
      <c r="B888" s="72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</row>
    <row r="889" ht="15.75" customHeight="1">
      <c r="A889" s="72"/>
      <c r="B889" s="72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</row>
    <row r="890" ht="15.75" customHeight="1">
      <c r="A890" s="72"/>
      <c r="B890" s="72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</row>
    <row r="891" ht="15.75" customHeight="1">
      <c r="A891" s="72"/>
      <c r="B891" s="72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</row>
    <row r="892" ht="15.75" customHeight="1">
      <c r="A892" s="72"/>
      <c r="B892" s="72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</row>
    <row r="893" ht="15.75" customHeight="1">
      <c r="A893" s="72"/>
      <c r="B893" s="72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</row>
    <row r="894" ht="15.75" customHeight="1">
      <c r="A894" s="72"/>
      <c r="B894" s="72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</row>
    <row r="895" ht="15.75" customHeight="1">
      <c r="A895" s="72"/>
      <c r="B895" s="72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</row>
    <row r="896" ht="15.75" customHeight="1">
      <c r="A896" s="72"/>
      <c r="B896" s="72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</row>
    <row r="897" ht="15.75" customHeight="1">
      <c r="A897" s="72"/>
      <c r="B897" s="72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</row>
    <row r="898" ht="15.75" customHeight="1">
      <c r="A898" s="72"/>
      <c r="B898" s="72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</row>
    <row r="899" ht="15.75" customHeight="1">
      <c r="A899" s="72"/>
      <c r="B899" s="72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</row>
    <row r="900" ht="15.75" customHeight="1">
      <c r="A900" s="72"/>
      <c r="B900" s="72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</row>
    <row r="901" ht="15.75" customHeight="1">
      <c r="A901" s="72"/>
      <c r="B901" s="72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</row>
    <row r="902" ht="15.75" customHeight="1">
      <c r="A902" s="72"/>
      <c r="B902" s="72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</row>
    <row r="903" ht="15.75" customHeight="1">
      <c r="A903" s="72"/>
      <c r="B903" s="72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</row>
    <row r="904" ht="15.75" customHeight="1">
      <c r="A904" s="72"/>
      <c r="B904" s="72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</row>
    <row r="905" ht="15.75" customHeight="1">
      <c r="A905" s="72"/>
      <c r="B905" s="72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</row>
    <row r="906" ht="15.75" customHeight="1">
      <c r="A906" s="72"/>
      <c r="B906" s="72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</row>
    <row r="907" ht="15.75" customHeight="1">
      <c r="A907" s="72"/>
      <c r="B907" s="72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</row>
    <row r="908" ht="15.75" customHeight="1">
      <c r="A908" s="72"/>
      <c r="B908" s="72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</row>
    <row r="909" ht="15.75" customHeight="1">
      <c r="A909" s="72"/>
      <c r="B909" s="72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</row>
    <row r="910" ht="15.75" customHeight="1">
      <c r="A910" s="72"/>
      <c r="B910" s="72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</row>
    <row r="911" ht="15.75" customHeight="1">
      <c r="A911" s="72"/>
      <c r="B911" s="72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</row>
    <row r="912" ht="15.75" customHeight="1">
      <c r="A912" s="72"/>
      <c r="B912" s="72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</row>
    <row r="913" ht="15.75" customHeight="1">
      <c r="A913" s="72"/>
      <c r="B913" s="72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</row>
    <row r="914" ht="15.75" customHeight="1">
      <c r="A914" s="72"/>
      <c r="B914" s="72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</row>
    <row r="915" ht="15.75" customHeight="1">
      <c r="A915" s="72"/>
      <c r="B915" s="72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</row>
    <row r="916" ht="15.75" customHeight="1">
      <c r="A916" s="72"/>
      <c r="B916" s="72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</row>
    <row r="917" ht="15.75" customHeight="1">
      <c r="A917" s="72"/>
      <c r="B917" s="72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</row>
    <row r="918" ht="15.75" customHeight="1">
      <c r="A918" s="72"/>
      <c r="B918" s="72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</row>
    <row r="919" ht="15.75" customHeight="1">
      <c r="A919" s="72"/>
      <c r="B919" s="72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</row>
    <row r="920" ht="15.75" customHeight="1">
      <c r="A920" s="72"/>
      <c r="B920" s="72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</row>
    <row r="921" ht="15.75" customHeight="1">
      <c r="A921" s="72"/>
      <c r="B921" s="72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</row>
    <row r="922" ht="15.75" customHeight="1">
      <c r="A922" s="72"/>
      <c r="B922" s="72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</row>
    <row r="923" ht="15.75" customHeight="1">
      <c r="A923" s="72"/>
      <c r="B923" s="72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</row>
    <row r="924" ht="15.75" customHeight="1">
      <c r="A924" s="72"/>
      <c r="B924" s="72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</row>
    <row r="925" ht="15.75" customHeight="1">
      <c r="A925" s="72"/>
      <c r="B925" s="72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</row>
    <row r="926" ht="15.75" customHeight="1">
      <c r="A926" s="72"/>
      <c r="B926" s="72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</row>
    <row r="927" ht="15.75" customHeight="1">
      <c r="A927" s="72"/>
      <c r="B927" s="72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</row>
    <row r="928" ht="15.75" customHeight="1">
      <c r="A928" s="72"/>
      <c r="B928" s="72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</row>
    <row r="929" ht="15.75" customHeight="1">
      <c r="A929" s="72"/>
      <c r="B929" s="72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</row>
    <row r="930" ht="15.75" customHeight="1">
      <c r="A930" s="72"/>
      <c r="B930" s="72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</row>
    <row r="931" ht="15.75" customHeight="1">
      <c r="A931" s="72"/>
      <c r="B931" s="72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</row>
    <row r="932" ht="15.75" customHeight="1">
      <c r="A932" s="72"/>
      <c r="B932" s="72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</row>
    <row r="933" ht="15.75" customHeight="1">
      <c r="A933" s="72"/>
      <c r="B933" s="72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</row>
    <row r="934" ht="15.75" customHeight="1">
      <c r="A934" s="72"/>
      <c r="B934" s="72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</row>
    <row r="935" ht="15.75" customHeight="1">
      <c r="A935" s="72"/>
      <c r="B935" s="72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</row>
    <row r="936" ht="15.75" customHeight="1">
      <c r="A936" s="72"/>
      <c r="B936" s="72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</row>
    <row r="937" ht="15.75" customHeight="1">
      <c r="A937" s="72"/>
      <c r="B937" s="72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</row>
    <row r="938" ht="15.75" customHeight="1">
      <c r="A938" s="72"/>
      <c r="B938" s="72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</row>
    <row r="939" ht="15.75" customHeight="1">
      <c r="A939" s="72"/>
      <c r="B939" s="72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</row>
    <row r="940" ht="15.75" customHeight="1">
      <c r="A940" s="72"/>
      <c r="B940" s="72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</row>
    <row r="941" ht="15.75" customHeight="1">
      <c r="A941" s="72"/>
      <c r="B941" s="72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</row>
    <row r="942" ht="15.75" customHeight="1">
      <c r="A942" s="72"/>
      <c r="B942" s="72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</row>
    <row r="943" ht="15.75" customHeight="1">
      <c r="A943" s="72"/>
      <c r="B943" s="72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</row>
    <row r="944" ht="15.75" customHeight="1">
      <c r="A944" s="72"/>
      <c r="B944" s="72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</row>
    <row r="945" ht="15.75" customHeight="1">
      <c r="A945" s="72"/>
      <c r="B945" s="72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</row>
    <row r="946" ht="15.75" customHeight="1">
      <c r="A946" s="72"/>
      <c r="B946" s="72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</row>
    <row r="947" ht="15.75" customHeight="1">
      <c r="A947" s="72"/>
      <c r="B947" s="72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</row>
    <row r="948" ht="15.75" customHeight="1">
      <c r="A948" s="72"/>
      <c r="B948" s="72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</row>
    <row r="949" ht="15.75" customHeight="1">
      <c r="A949" s="72"/>
      <c r="B949" s="72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</row>
    <row r="950" ht="15.75" customHeight="1">
      <c r="A950" s="72"/>
      <c r="B950" s="72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</row>
    <row r="951" ht="15.75" customHeight="1">
      <c r="A951" s="72"/>
      <c r="B951" s="72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</row>
    <row r="952" ht="15.75" customHeight="1">
      <c r="A952" s="72"/>
      <c r="B952" s="72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</row>
    <row r="953" ht="15.75" customHeight="1">
      <c r="A953" s="72"/>
      <c r="B953" s="72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</row>
    <row r="954" ht="15.75" customHeight="1">
      <c r="A954" s="72"/>
      <c r="B954" s="72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</row>
    <row r="955" ht="15.75" customHeight="1">
      <c r="A955" s="72"/>
      <c r="B955" s="72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</row>
    <row r="956" ht="15.75" customHeight="1">
      <c r="A956" s="72"/>
      <c r="B956" s="72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</row>
    <row r="957" ht="15.75" customHeight="1">
      <c r="A957" s="72"/>
      <c r="B957" s="72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</row>
    <row r="958" ht="15.75" customHeight="1">
      <c r="A958" s="72"/>
      <c r="B958" s="72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</row>
    <row r="959" ht="15.75" customHeight="1">
      <c r="A959" s="72"/>
      <c r="B959" s="72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</row>
    <row r="960" ht="15.75" customHeight="1">
      <c r="A960" s="72"/>
      <c r="B960" s="72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</row>
    <row r="961" ht="15.75" customHeight="1">
      <c r="A961" s="72"/>
      <c r="B961" s="72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</row>
    <row r="962" ht="15.75" customHeight="1">
      <c r="A962" s="72"/>
      <c r="B962" s="72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</row>
    <row r="963" ht="15.75" customHeight="1">
      <c r="A963" s="72"/>
      <c r="B963" s="72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</row>
    <row r="964" ht="15.75" customHeight="1">
      <c r="A964" s="72"/>
      <c r="B964" s="72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</row>
    <row r="965" ht="15.75" customHeight="1">
      <c r="A965" s="72"/>
      <c r="B965" s="72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</row>
    <row r="966" ht="15.75" customHeight="1">
      <c r="A966" s="72"/>
      <c r="B966" s="72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</row>
    <row r="967" ht="15.75" customHeight="1">
      <c r="A967" s="72"/>
      <c r="B967" s="72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</row>
    <row r="968" ht="15.75" customHeight="1">
      <c r="A968" s="72"/>
      <c r="B968" s="72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</row>
    <row r="969" ht="15.75" customHeight="1">
      <c r="A969" s="72"/>
      <c r="B969" s="72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</row>
    <row r="970" ht="15.75" customHeight="1">
      <c r="A970" s="72"/>
      <c r="B970" s="72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</row>
    <row r="971" ht="15.75" customHeight="1">
      <c r="A971" s="72"/>
      <c r="B971" s="72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</row>
    <row r="972" ht="15.75" customHeight="1">
      <c r="A972" s="72"/>
      <c r="B972" s="72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</row>
    <row r="973" ht="15.75" customHeight="1">
      <c r="A973" s="72"/>
      <c r="B973" s="72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</row>
    <row r="974" ht="15.75" customHeight="1">
      <c r="A974" s="72"/>
      <c r="B974" s="72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</row>
    <row r="975" ht="15.75" customHeight="1">
      <c r="A975" s="72"/>
      <c r="B975" s="72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</row>
    <row r="976" ht="15.75" customHeight="1">
      <c r="A976" s="72"/>
      <c r="B976" s="72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</row>
    <row r="977" ht="15.75" customHeight="1">
      <c r="A977" s="72"/>
      <c r="B977" s="72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</row>
    <row r="978" ht="15.75" customHeight="1">
      <c r="A978" s="72"/>
      <c r="B978" s="72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</row>
    <row r="979" ht="15.75" customHeight="1">
      <c r="A979" s="72"/>
      <c r="B979" s="72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</row>
    <row r="980" ht="15.75" customHeight="1">
      <c r="A980" s="72"/>
      <c r="B980" s="72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</row>
    <row r="981" ht="15.75" customHeight="1">
      <c r="A981" s="72"/>
      <c r="B981" s="72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</row>
    <row r="982" ht="15.75" customHeight="1">
      <c r="A982" s="72"/>
      <c r="B982" s="72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</row>
    <row r="983" ht="15.75" customHeight="1">
      <c r="A983" s="72"/>
      <c r="B983" s="72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</row>
    <row r="984" ht="15.75" customHeight="1">
      <c r="A984" s="72"/>
      <c r="B984" s="72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</row>
    <row r="985" ht="15.75" customHeight="1">
      <c r="A985" s="72"/>
      <c r="B985" s="72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</row>
    <row r="986" ht="15.75" customHeight="1">
      <c r="A986" s="72"/>
      <c r="B986" s="72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</row>
    <row r="987" ht="15.75" customHeight="1">
      <c r="A987" s="72"/>
      <c r="B987" s="72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</row>
    <row r="988" ht="15.75" customHeight="1">
      <c r="A988" s="72"/>
      <c r="B988" s="72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</row>
    <row r="989" ht="15.75" customHeight="1">
      <c r="A989" s="72"/>
      <c r="B989" s="72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</row>
    <row r="990" ht="15.75" customHeight="1">
      <c r="A990" s="72"/>
      <c r="B990" s="72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</row>
    <row r="991" ht="15.75" customHeight="1">
      <c r="A991" s="72"/>
      <c r="B991" s="72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</row>
    <row r="992" ht="15.75" customHeight="1">
      <c r="A992" s="72"/>
      <c r="B992" s="72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</row>
    <row r="993" ht="15.75" customHeight="1">
      <c r="A993" s="72"/>
      <c r="B993" s="72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</row>
    <row r="994" ht="15.75" customHeight="1">
      <c r="A994" s="72"/>
      <c r="B994" s="72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</row>
    <row r="995" ht="15.75" customHeight="1">
      <c r="A995" s="72"/>
      <c r="B995" s="72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</row>
    <row r="996" ht="15.75" customHeight="1">
      <c r="A996" s="72"/>
      <c r="B996" s="72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</row>
    <row r="997" ht="15.75" customHeight="1">
      <c r="A997" s="72"/>
      <c r="B997" s="72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</row>
    <row r="998" ht="15.75" customHeight="1">
      <c r="A998" s="72"/>
      <c r="B998" s="72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</row>
    <row r="999" ht="15.75" customHeight="1">
      <c r="A999" s="72"/>
      <c r="B999" s="72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</row>
    <row r="1000" ht="15.75" customHeight="1">
      <c r="A1000" s="72"/>
      <c r="B1000" s="72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</row>
  </sheetData>
  <mergeCells count="10">
    <mergeCell ref="A35:D47"/>
    <mergeCell ref="A50:D50"/>
    <mergeCell ref="A51:D62"/>
    <mergeCell ref="A1:I1"/>
    <mergeCell ref="A3:D3"/>
    <mergeCell ref="E3:F3"/>
    <mergeCell ref="A4:D15"/>
    <mergeCell ref="A18:D18"/>
    <mergeCell ref="A19:D31"/>
    <mergeCell ref="A34:D3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</cp:coreProperties>
</file>