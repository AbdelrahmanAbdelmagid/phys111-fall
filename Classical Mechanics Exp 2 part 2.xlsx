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tudent information (2)" sheetId="1" state="visible" r:id="rId3"/>
    <sheet name="Notes" sheetId="2" state="visible" r:id="rId4"/>
    <sheet name="Task 1" sheetId="3" state="visible" r:id="rId5"/>
    <sheet name="Task 2" sheetId="4" state="visible" r:id="rId6"/>
    <sheet name="Report"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<sst xmlns="http://schemas.openxmlformats.org/spreadsheetml/2006/main" count="319" uniqueCount="122">
  <si>
    <t xml:space="preserve">Classical Mechanics</t>
  </si>
  <si>
    <t xml:space="preserve">Exp 2 part 2</t>
  </si>
  <si>
    <t xml:space="preserve">Kinematics of projectile motion</t>
  </si>
  <si>
    <t xml:space="preserve">Student(s) Information</t>
  </si>
  <si>
    <t xml:space="preserve">Student #1</t>
  </si>
  <si>
    <t xml:space="preserve">Student #2</t>
  </si>
  <si>
    <t xml:space="preserve">Student #3</t>
  </si>
  <si>
    <t xml:space="preserve">Student #4</t>
  </si>
  <si>
    <t xml:space="preserve">Student #5</t>
  </si>
  <si>
    <t xml:space="preserve">Name</t>
  </si>
  <si>
    <t xml:space="preserve">Faculty ID</t>
  </si>
  <si>
    <t xml:space="preserve">Section</t>
  </si>
  <si>
    <t xml:space="preserve">E-mail address</t>
  </si>
  <si>
    <t xml:space="preserve">Date</t>
  </si>
  <si>
    <t xml:space="preserve">Instructor name</t>
  </si>
  <si>
    <t xml:space="preserve">Attended section</t>
  </si>
  <si>
    <t xml:space="preserve">TA Name</t>
  </si>
  <si>
    <t xml:space="preserve">TA Email</t>
  </si>
  <si>
    <t xml:space="preserve">Dr. Sameh Mahmoud</t>
  </si>
  <si>
    <t xml:space="preserve">Hadir Saad</t>
  </si>
  <si>
    <t xml:space="preserve">t-hsaad@zewailcity.edu.eg</t>
  </si>
  <si>
    <t xml:space="preserve">Area zone</t>
  </si>
  <si>
    <t xml:space="preserve">Dr. Ahmed Aly</t>
  </si>
  <si>
    <t xml:space="preserve">Mansour Hassan</t>
  </si>
  <si>
    <t xml:space="preserve">t-mahassan@zewailcity.edu.eg</t>
  </si>
  <si>
    <t xml:space="preserve">Labtop No</t>
  </si>
  <si>
    <t xml:space="preserve">Dr. Amr Mohamed</t>
  </si>
  <si>
    <t xml:space="preserve">Nora Abdullah</t>
  </si>
  <si>
    <t xml:space="preserve">t-nabdullah@zewailcity.edu.eg</t>
  </si>
  <si>
    <t xml:space="preserve">Dr. Hisham Anwer</t>
  </si>
  <si>
    <t xml:space="preserve">Moamen Saleh</t>
  </si>
  <si>
    <t xml:space="preserve">t-mshassan@zewailcity.edu.eg</t>
  </si>
  <si>
    <t xml:space="preserve">File name and
Email subject #1</t>
  </si>
  <si>
    <t xml:space="preserve">Dr. Ashraf Abdelwahed</t>
  </si>
  <si>
    <t xml:space="preserve">Ahmed Raafat</t>
  </si>
  <si>
    <t xml:space="preserve">t-araafat@zewailcity.edu.eg</t>
  </si>
  <si>
    <t xml:space="preserve">Mohamed Atef</t>
  </si>
  <si>
    <t xml:space="preserve">t-mdeyab@zewailcity.edu.eg</t>
  </si>
  <si>
    <t xml:space="preserve">File name and
Email subject #2</t>
  </si>
  <si>
    <t xml:space="preserve">Mohamed Magdi</t>
  </si>
  <si>
    <t xml:space="preserve">t-mmagdi@zewailcity.edu.eg</t>
  </si>
  <si>
    <t xml:space="preserve">Ziad Ahmed</t>
  </si>
  <si>
    <t xml:space="preserve">t-zahmed@zewailcity.edu.eg</t>
  </si>
  <si>
    <t xml:space="preserve">File name and
Email subject #3</t>
  </si>
  <si>
    <t xml:space="preserve">Mohammed Abdelmawla</t>
  </si>
  <si>
    <t xml:space="preserve">t-mohammed.abdelmawla@zewailcity.edu.eg</t>
  </si>
  <si>
    <t xml:space="preserve">Khaled Khattab</t>
  </si>
  <si>
    <t xml:space="preserve">t-khaled.khattab@zewailcity.edu.eg</t>
  </si>
  <si>
    <t xml:space="preserve">File name and
Email subject #4</t>
  </si>
  <si>
    <t xml:space="preserve">Mohammed Khairy</t>
  </si>
  <si>
    <t xml:space="preserve">t-muhammad.muhammad@zewailcity.edu.eg</t>
  </si>
  <si>
    <t xml:space="preserve">Seif Azab</t>
  </si>
  <si>
    <t xml:space="preserve">t-seifeldeen.azab@zewailcity.edu.eg</t>
  </si>
  <si>
    <t xml:space="preserve">File name and
Email subject #5</t>
  </si>
  <si>
    <t xml:space="preserve">Eng. Ahmed Parsi</t>
  </si>
  <si>
    <t xml:space="preserve">aparsi@zewailcity.edu.eg</t>
  </si>
  <si>
    <t xml:space="preserve">Eng. Samar Ahmed</t>
  </si>
  <si>
    <t xml:space="preserve">sabbas@zewailcity.edu.eg</t>
  </si>
  <si>
    <t xml:space="preserve">Please read the "Notes" sheet carefully before filling your report and before submitting it.</t>
  </si>
  <si>
    <t xml:space="preserve">Notes to the instructor *</t>
  </si>
  <si>
    <t xml:space="preserve">* Any note concering your report you wish to point out to the instructor should be written in the "Notes to the instructor" cells.</t>
  </si>
  <si>
    <t xml:space="preserve">Notes :</t>
  </si>
  <si>
    <t xml:space="preserve">The experiment procedures should be carefully read from the lab manual before the lab session.</t>
  </si>
  <si>
    <t xml:space="preserve">Lab reports should be submitted on time to avoid any grades decductions.</t>
  </si>
  <si>
    <t xml:space="preserve">Each student should bring his/her laptop and work on his/her data,graphs and calculations in person not in groups.</t>
  </si>
  <si>
    <t xml:space="preserve">All your calculations and equations used to compute any value should be clearly stated.</t>
  </si>
  <si>
    <t xml:space="preserve">All equations should be written using the equation design. (Insert -&gt; Equation)</t>
  </si>
  <si>
    <t xml:space="preserve">All calculated quantities should be expressed with their correct units.</t>
  </si>
  <si>
    <t xml:space="preserve">The lab report should be readable, well organized and formated.</t>
  </si>
  <si>
    <t xml:space="preserve">Any note concering your report you wish to point out to the instructor should be written in the "Notes to the instructor" cells.</t>
  </si>
  <si>
    <t xml:space="preserve">Each graph should contain the following :</t>
  </si>
  <si>
    <t xml:space="preserve">A scatter plot with all your data points.</t>
  </si>
  <si>
    <t xml:space="preserve">A descriptive chart title.</t>
  </si>
  <si>
    <t xml:space="preserve">Axis titles (Physical quantity and its unit).</t>
  </si>
  <si>
    <t xml:space="preserve">A suitable scale for each of the axis (0.000 or E+10 slopes are not accepted because they are massively rounded).</t>
  </si>
  <si>
    <t xml:space="preserve">A legend in case of multiple plots on the same graph.</t>
  </si>
  <si>
    <t xml:space="preserve">A suitable intercept of the trendline (if any).</t>
  </si>
  <si>
    <t xml:space="preserve">An equation for the trendline on graph (if any).</t>
  </si>
  <si>
    <t xml:space="preserve">Error bars representing the uncertainty in each reading</t>
  </si>
  <si>
    <t xml:space="preserve">Task 1</t>
  </si>
  <si>
    <t xml:space="preserve">Kinematics of projectile motion (Angle change)</t>
  </si>
  <si>
    <t xml:space="preserve">To prepare our setup we will do the following:  
 -  We estimate an approximate value for the average speed and its uncertainty as a percentage of it. 
- We predict the approximate value for height and range. 
- When varing the angle with small variation, the variation in sin of the angle is negligabely small, so we egnored the uncertainty in the angle.
- The percentage uncertainty in height and range approximately equal to the percentage uncertainty in speed. 
- Based on the previous information, we put one of the rulers at the expected value of the height,  the hanger at the expected value of the range and the two other rulers at the expected mid points between the gun, height ruler and hanger , respectively (With taking account with approximate uncertainty).</t>
  </si>
  <si>
    <t xml:space="preserve"> 2nd mode at Constant angle</t>
  </si>
  <si>
    <t xml:space="preserve">angle in Rad</t>
  </si>
  <si>
    <t xml:space="preserve">Plot graphs between X and Y (both theoretical and experimental data) , Determine the Height and Range </t>
  </si>
  <si>
    <t xml:space="preserve">hight of gun</t>
  </si>
  <si>
    <t xml:space="preserve">Position X1 (intial point)</t>
  </si>
  <si>
    <t xml:space="preserve">Position X2 (1st point)</t>
  </si>
  <si>
    <t xml:space="preserve"> Position X3 (Max. Height) </t>
  </si>
  <si>
    <t xml:space="preserve">Position X4 (3rd point)</t>
  </si>
  <si>
    <t xml:space="preserve">Position X5 (Max range)</t>
  </si>
  <si>
    <t xml:space="preserve">Speed (m/s)</t>
  </si>
  <si>
    <t xml:space="preserve">X (m) :</t>
  </si>
  <si>
    <t xml:space="preserve">X (m)</t>
  </si>
  <si>
    <t xml:space="preserve">Y (m) :</t>
  </si>
  <si>
    <t xml:space="preserve">Y (m)</t>
  </si>
  <si>
    <t xml:space="preserve">Trial 1 </t>
  </si>
  <si>
    <t xml:space="preserve">Trial 2</t>
  </si>
  <si>
    <t xml:space="preserve">Average speed</t>
  </si>
  <si>
    <t xml:space="preserve">Average in Y</t>
  </si>
  <si>
    <t xml:space="preserve">average in Y</t>
  </si>
  <si>
    <t xml:space="preserve">Uncertainty in speed</t>
  </si>
  <si>
    <t xml:space="preserve">Uncertainty in Y </t>
  </si>
  <si>
    <t xml:space="preserve">Plot both your graphs here </t>
  </si>
  <si>
    <r>
      <rPr>
        <b val="true"/>
        <sz val="20"/>
        <color theme="1"/>
        <rFont val="Times New Roman"/>
        <family val="0"/>
        <charset val="1"/>
      </rPr>
      <t xml:space="preserve">σ</t>
    </r>
    <r>
      <rPr>
        <b val="true"/>
        <sz val="16"/>
        <color theme="1"/>
        <rFont val="Times New Roman"/>
        <family val="0"/>
        <charset val="1"/>
      </rPr>
      <t xml:space="preserve">x</t>
    </r>
  </si>
  <si>
    <r>
      <rPr>
        <b val="true"/>
        <sz val="20"/>
        <color theme="1"/>
        <rFont val="Times New Roman"/>
        <family val="0"/>
        <charset val="1"/>
      </rPr>
      <t xml:space="preserve">σ</t>
    </r>
    <r>
      <rPr>
        <b val="true"/>
        <sz val="16"/>
        <color theme="1"/>
        <rFont val="Times New Roman"/>
        <family val="0"/>
        <charset val="1"/>
      </rPr>
      <t xml:space="preserve">y</t>
    </r>
  </si>
  <si>
    <t xml:space="preserve">X theor (m)</t>
  </si>
  <si>
    <t xml:space="preserve">Y theor (m)</t>
  </si>
  <si>
    <t xml:space="preserve">Initial point</t>
  </si>
  <si>
    <t xml:space="preserve">1st point</t>
  </si>
  <si>
    <t xml:space="preserve">Max hight</t>
  </si>
  <si>
    <t xml:space="preserve">3rd point</t>
  </si>
  <si>
    <t xml:space="preserve">Max range</t>
  </si>
  <si>
    <t xml:space="preserve">Task 2</t>
  </si>
  <si>
    <t xml:space="preserve">Kinematics of projectile motion (Velocity change)</t>
  </si>
  <si>
    <t xml:space="preserve"> 1st mode at Constant angle</t>
  </si>
  <si>
    <t xml:space="preserve">2nd mode at Constant angle</t>
  </si>
  <si>
    <t xml:space="preserve">Report</t>
  </si>
  <si>
    <t xml:space="preserve">1) What are the objectives of this experiment?</t>
  </si>
  <si>
    <t xml:space="preserve">2) What are the theoritical principles introduced to buit the setup of the experiment?</t>
  </si>
  <si>
    <t xml:space="preserve">3) What are the precautions required to properly conduct the experiment?</t>
  </si>
  <si>
    <t xml:space="preserve">4) What is your conclusion? ((Add your graphs with your own comments on it and Describe the possible sources of errors)</t>
  </si>
</sst>
</file>

<file path=xl/styles.xml><?xml version="1.0" encoding="utf-8"?>
<styleSheet xmlns="http://schemas.openxmlformats.org/spreadsheetml/2006/main">
  <numFmts count="2">
    <numFmt numFmtId="164" formatCode="General"/>
    <numFmt numFmtId="165" formatCode="m/d/yyyy"/>
  </numFmts>
  <fonts count="25">
    <font>
      <sz val="11"/>
      <color theme="1"/>
      <name val="Calibri"/>
      <family val="0"/>
      <charset val="1"/>
    </font>
    <font>
      <sz val="10"/>
      <name val="Arial"/>
      <family val="0"/>
    </font>
    <font>
      <sz val="10"/>
      <name val="Arial"/>
      <family val="0"/>
    </font>
    <font>
      <sz val="10"/>
      <name val="Arial"/>
      <family val="0"/>
    </font>
    <font>
      <b val="true"/>
      <sz val="16"/>
      <color theme="1"/>
      <name val="Times New Roman"/>
      <family val="0"/>
      <charset val="1"/>
    </font>
    <font>
      <b val="true"/>
      <sz val="14"/>
      <color theme="1"/>
      <name val="Times New Roman"/>
      <family val="0"/>
      <charset val="1"/>
    </font>
    <font>
      <sz val="12"/>
      <color theme="1"/>
      <name val="Calibri"/>
      <family val="0"/>
      <charset val="1"/>
    </font>
    <font>
      <sz val="12"/>
      <color theme="1"/>
      <name val="Times New Roman"/>
      <family val="0"/>
      <charset val="1"/>
    </font>
    <font>
      <u val="single"/>
      <sz val="11"/>
      <color theme="10"/>
      <name val="Calibri"/>
      <family val="0"/>
      <charset val="1"/>
    </font>
    <font>
      <sz val="11"/>
      <color rgb="FF222222"/>
      <name val="Roboto"/>
      <family val="0"/>
      <charset val="1"/>
    </font>
    <font>
      <sz val="16"/>
      <color theme="1"/>
      <name val="Times New Roman"/>
      <family val="0"/>
      <charset val="1"/>
    </font>
    <font>
      <sz val="11"/>
      <color rgb="FFFF0000"/>
      <name val="Calibri"/>
      <family val="0"/>
      <charset val="1"/>
    </font>
    <font>
      <b val="true"/>
      <u val="single"/>
      <sz val="14"/>
      <color theme="10"/>
      <name val="Times New Roman"/>
      <family val="0"/>
      <charset val="1"/>
    </font>
    <font>
      <b val="true"/>
      <sz val="11"/>
      <color theme="1"/>
      <name val="Calibri"/>
      <family val="0"/>
      <charset val="1"/>
    </font>
    <font>
      <b val="true"/>
      <sz val="14"/>
      <color theme="1"/>
      <name val="Calibri"/>
      <family val="0"/>
      <charset val="1"/>
    </font>
    <font>
      <sz val="11"/>
      <color theme="1"/>
      <name val="Times New Roman"/>
      <family val="0"/>
      <charset val="1"/>
    </font>
    <font>
      <b val="true"/>
      <sz val="24"/>
      <color theme="1"/>
      <name val="Times New Roman"/>
      <family val="0"/>
      <charset val="1"/>
    </font>
    <font>
      <b val="true"/>
      <sz val="18"/>
      <color theme="1"/>
      <name val="Times New Roman"/>
      <family val="0"/>
      <charset val="1"/>
    </font>
    <font>
      <sz val="14"/>
      <color theme="1"/>
      <name val="Times New Roman"/>
      <family val="0"/>
      <charset val="1"/>
    </font>
    <font>
      <b val="true"/>
      <sz val="12"/>
      <color theme="1"/>
      <name val="Times New Roman"/>
      <family val="0"/>
      <charset val="1"/>
    </font>
    <font>
      <b val="true"/>
      <u val="single"/>
      <sz val="22"/>
      <color theme="1"/>
      <name val="Times New Roman"/>
      <family val="0"/>
      <charset val="1"/>
    </font>
    <font>
      <b val="true"/>
      <u val="single"/>
      <sz val="11"/>
      <color theme="1"/>
      <name val="Times New Roman"/>
      <family val="0"/>
      <charset val="1"/>
    </font>
    <font>
      <b val="true"/>
      <sz val="11"/>
      <color theme="1"/>
      <name val="Times New Roman"/>
      <family val="0"/>
      <charset val="1"/>
    </font>
    <font>
      <b val="true"/>
      <sz val="10"/>
      <color theme="1"/>
      <name val="Times New Roman"/>
      <family val="0"/>
      <charset val="1"/>
    </font>
    <font>
      <b val="true"/>
      <sz val="20"/>
      <color theme="1"/>
      <name val="Times New Roman"/>
      <family val="0"/>
      <charset val="1"/>
    </font>
  </fonts>
  <fills count="6">
    <fill>
      <patternFill patternType="none"/>
    </fill>
    <fill>
      <patternFill patternType="gray125"/>
    </fill>
    <fill>
      <patternFill patternType="solid">
        <fgColor rgb="FFFFFF00"/>
        <bgColor rgb="FFFFFF00"/>
      </patternFill>
    </fill>
    <fill>
      <patternFill patternType="solid">
        <fgColor rgb="FFFDE9D9"/>
        <bgColor rgb="FFFFFFFF"/>
      </patternFill>
    </fill>
    <fill>
      <patternFill patternType="solid">
        <fgColor rgb="FFDDD9C3"/>
        <bgColor rgb="FFFDE9D9"/>
      </patternFill>
    </fill>
    <fill>
      <patternFill patternType="solid">
        <fgColor rgb="FF00B0F0"/>
        <bgColor rgb="FF33CCCC"/>
      </patternFill>
    </fill>
  </fills>
  <borders count="28">
    <border diagonalUp="false" diagonalDown="false">
      <left/>
      <right/>
      <top/>
      <bottom/>
      <diagonal/>
    </border>
    <border diagonalUp="false" diagonalDown="false">
      <left/>
      <right/>
      <top/>
      <bottom style="thin"/>
      <diagonal/>
    </border>
    <border diagonalUp="false" diagonalDown="false">
      <left/>
      <right/>
      <top style="thin"/>
      <bottom style="thin"/>
      <diagonal/>
    </border>
    <border diagonalUp="false" diagonalDown="false">
      <left style="thin"/>
      <right/>
      <top/>
      <bottom style="thin"/>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top/>
      <bottom style="medium"/>
      <diagonal/>
    </border>
    <border diagonalUp="false" diagonalDown="false">
      <left/>
      <right style="thin"/>
      <top style="medium"/>
      <bottom style="medium"/>
      <diagonal/>
    </border>
    <border diagonalUp="false" diagonalDown="false">
      <left style="thin"/>
      <right style="medium"/>
      <top style="medium"/>
      <bottom style="medium"/>
      <diagonal/>
    </border>
    <border diagonalUp="false" diagonalDown="false">
      <left style="medium"/>
      <right style="thin"/>
      <top style="medium"/>
      <bottom style="medium"/>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medium"/>
      <right/>
      <top style="medium"/>
      <bottom style="thin"/>
      <diagonal/>
    </border>
    <border diagonalUp="false" diagonalDown="false">
      <left style="medium"/>
      <right style="medium"/>
      <top style="medium"/>
      <bottom style="thin"/>
      <diagonal/>
    </border>
    <border diagonalUp="false" diagonalDown="false">
      <left/>
      <right style="thin"/>
      <top style="medium"/>
      <bottom style="thin"/>
      <diagonal/>
    </border>
    <border diagonalUp="false" diagonalDown="false">
      <left style="thin"/>
      <right style="medium"/>
      <top style="medium"/>
      <bottom style="thin"/>
      <diagonal/>
    </border>
    <border diagonalUp="false" diagonalDown="false">
      <left style="medium"/>
      <right style="thin"/>
      <top style="medium"/>
      <bottom style="thin"/>
      <diagonal/>
    </border>
    <border diagonalUp="false" diagonalDown="false">
      <left style="medium"/>
      <right/>
      <top style="thin"/>
      <bottom style="medium"/>
      <diagonal/>
    </border>
    <border diagonalUp="false" diagonalDown="false">
      <left style="medium"/>
      <right style="medium"/>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style="medium"/>
      <right style="thin"/>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5" fillId="0" borderId="4" xfId="0" applyFont="true" applyBorder="true" applyAlignment="true" applyProtection="false">
      <alignment horizontal="center" vertical="center" textRotation="0" wrapText="false" indent="0" shrinkToFit="false"/>
      <protection locked="true" hidden="false"/>
    </xf>
    <xf numFmtId="164" fontId="6" fillId="0"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center" vertical="bottom" textRotation="0" wrapText="false" indent="0" shrinkToFit="false"/>
      <protection locked="true" hidden="false"/>
    </xf>
    <xf numFmtId="164" fontId="8" fillId="0" borderId="4" xfId="0" applyFont="true" applyBorder="true" applyAlignment="true" applyProtection="false">
      <alignment horizontal="center" vertical="center" textRotation="0" wrapText="false" indent="0" shrinkToFit="false"/>
      <protection locked="true" hidden="false"/>
    </xf>
    <xf numFmtId="165" fontId="6" fillId="0" borderId="4"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center" vertical="bottom" textRotation="0" wrapText="tru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true" applyBorder="true" applyAlignment="true" applyProtection="false">
      <alignment horizontal="left" vertical="bottom" textRotation="0" wrapText="false" indent="0" shrinkToFit="false"/>
      <protection locked="true" hidden="false"/>
    </xf>
    <xf numFmtId="164" fontId="0" fillId="0" borderId="6"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4" fontId="17" fillId="0" borderId="7"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4" fillId="2" borderId="8"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20" fillId="0" borderId="7"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true" indent="0" shrinkToFit="false"/>
      <protection locked="true" hidden="false"/>
    </xf>
    <xf numFmtId="164" fontId="4" fillId="2" borderId="7" xfId="0" applyFont="true" applyBorder="true" applyAlignment="true" applyProtection="false">
      <alignment horizontal="center" vertical="center" textRotation="0" wrapText="false" indent="0" shrinkToFit="false"/>
      <protection locked="true" hidden="false"/>
    </xf>
    <xf numFmtId="164" fontId="22" fillId="0" borderId="9" xfId="0" applyFont="true" applyBorder="true" applyAlignment="true" applyProtection="false">
      <alignment horizontal="center" vertical="center" textRotation="0" wrapText="false" indent="0" shrinkToFit="false"/>
      <protection locked="true" hidden="false"/>
    </xf>
    <xf numFmtId="164" fontId="22" fillId="3" borderId="9"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right" vertical="center" textRotation="0" wrapText="false" indent="0" shrinkToFit="false"/>
      <protection locked="true" hidden="false"/>
    </xf>
    <xf numFmtId="164" fontId="22" fillId="4" borderId="7" xfId="0" applyFont="true" applyBorder="true" applyAlignment="true" applyProtection="false">
      <alignment horizontal="center" vertical="center" textRotation="0" wrapText="false" indent="0" shrinkToFit="false"/>
      <protection locked="true" hidden="false"/>
    </xf>
    <xf numFmtId="164" fontId="22" fillId="0" borderId="10" xfId="0" applyFont="true" applyBorder="true" applyAlignment="true" applyProtection="false">
      <alignment horizontal="right" vertical="center" textRotation="0" wrapText="false" indent="0" shrinkToFit="false"/>
      <protection locked="true" hidden="false"/>
    </xf>
    <xf numFmtId="164" fontId="22" fillId="0" borderId="11" xfId="0" applyFont="true" applyBorder="true" applyAlignment="true" applyProtection="false">
      <alignment horizontal="center" vertical="center" textRotation="0" wrapText="false" indent="0" shrinkToFit="false"/>
      <protection locked="true" hidden="false"/>
    </xf>
    <xf numFmtId="164" fontId="22" fillId="0" borderId="12" xfId="0" applyFont="true" applyBorder="true" applyAlignment="true" applyProtection="false">
      <alignment horizontal="right" vertical="center" textRotation="0" wrapText="false" indent="0" shrinkToFit="false"/>
      <protection locked="true" hidden="false"/>
    </xf>
    <xf numFmtId="164" fontId="22" fillId="3" borderId="12" xfId="0" applyFont="true" applyBorder="true" applyAlignment="true" applyProtection="false">
      <alignment horizontal="right" vertical="center" textRotation="0" wrapText="false" indent="0" shrinkToFit="false"/>
      <protection locked="true" hidden="false"/>
    </xf>
    <xf numFmtId="164" fontId="22" fillId="3" borderId="11" xfId="0" applyFont="true" applyBorder="true" applyAlignment="true" applyProtection="false">
      <alignment horizontal="center" vertical="center" textRotation="0" wrapText="false" indent="0" shrinkToFit="false"/>
      <protection locked="true" hidden="false"/>
    </xf>
    <xf numFmtId="164" fontId="15" fillId="4" borderId="6"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64" fontId="22" fillId="0" borderId="6" xfId="0" applyFont="true" applyBorder="true" applyAlignment="true" applyProtection="false">
      <alignment horizontal="center" vertical="center" textRotation="0" wrapText="false" indent="0" shrinkToFit="false"/>
      <protection locked="true" hidden="false"/>
    </xf>
    <xf numFmtId="164" fontId="22" fillId="3" borderId="0" xfId="0" applyFont="true" applyBorder="true" applyAlignment="true" applyProtection="false">
      <alignment horizontal="center" vertical="center" textRotation="0" wrapText="false" indent="0" shrinkToFit="false"/>
      <protection locked="true" hidden="false"/>
    </xf>
    <xf numFmtId="164" fontId="22" fillId="3" borderId="6" xfId="0" applyFont="true" applyBorder="true" applyAlignment="true" applyProtection="false">
      <alignment horizontal="center" vertical="center" textRotation="0" wrapText="false" indent="0" shrinkToFit="false"/>
      <protection locked="true" hidden="false"/>
    </xf>
    <xf numFmtId="164" fontId="22" fillId="0" borderId="13" xfId="0" applyFont="true" applyBorder="true" applyAlignment="true" applyProtection="false">
      <alignment horizontal="center" vertical="center" textRotation="0" wrapText="false" indent="0" shrinkToFit="false"/>
      <protection locked="true" hidden="false"/>
    </xf>
    <xf numFmtId="164" fontId="15" fillId="4" borderId="4" xfId="0" applyFont="true" applyBorder="true" applyAlignment="true" applyProtection="false">
      <alignment horizontal="center" vertical="center" textRotation="0" wrapText="false" indent="0" shrinkToFit="false"/>
      <protection locked="true" hidden="false"/>
    </xf>
    <xf numFmtId="164" fontId="15" fillId="0" borderId="4" xfId="0" applyFont="true" applyBorder="true" applyAlignment="true" applyProtection="false">
      <alignment horizontal="center" vertical="center" textRotation="0" wrapText="false" indent="0" shrinkToFit="false"/>
      <protection locked="true" hidden="false"/>
    </xf>
    <xf numFmtId="164" fontId="15" fillId="3" borderId="0" xfId="0" applyFont="true" applyBorder="true" applyAlignment="true" applyProtection="false">
      <alignment horizontal="center" vertical="center" textRotation="0" wrapText="false" indent="0" shrinkToFit="false"/>
      <protection locked="true" hidden="false"/>
    </xf>
    <xf numFmtId="164" fontId="15" fillId="3" borderId="4" xfId="0" applyFont="true" applyBorder="true" applyAlignment="true" applyProtection="false">
      <alignment horizontal="center" vertical="center" textRotation="0" wrapText="false" indent="0" shrinkToFit="false"/>
      <protection locked="true" hidden="false"/>
    </xf>
    <xf numFmtId="164" fontId="15" fillId="4" borderId="14" xfId="0" applyFont="true" applyBorder="true" applyAlignment="true" applyProtection="false">
      <alignment horizontal="center" vertical="center" textRotation="0" wrapText="false" indent="0" shrinkToFit="false"/>
      <protection locked="true" hidden="false"/>
    </xf>
    <xf numFmtId="164" fontId="15" fillId="0" borderId="15" xfId="0" applyFont="true" applyBorder="true" applyAlignment="true" applyProtection="false">
      <alignment horizontal="center" vertical="center" textRotation="0" wrapText="false" indent="0" shrinkToFit="false"/>
      <protection locked="true" hidden="false"/>
    </xf>
    <xf numFmtId="164" fontId="15" fillId="4" borderId="16" xfId="0" applyFont="true" applyBorder="true" applyAlignment="true" applyProtection="false">
      <alignment horizontal="center" vertical="center" textRotation="0" wrapText="false" indent="0" shrinkToFit="false"/>
      <protection locked="true" hidden="false"/>
    </xf>
    <xf numFmtId="164" fontId="15" fillId="0" borderId="17" xfId="0" applyFont="true" applyBorder="true" applyAlignment="true" applyProtection="false">
      <alignment horizontal="center" vertical="center" textRotation="0" wrapText="false" indent="0" shrinkToFit="false"/>
      <protection locked="true" hidden="false"/>
    </xf>
    <xf numFmtId="164" fontId="15" fillId="0" borderId="18" xfId="0" applyFont="true" applyBorder="true" applyAlignment="true" applyProtection="false">
      <alignment horizontal="center" vertical="center" textRotation="0" wrapText="false" indent="0" shrinkToFit="false"/>
      <protection locked="true" hidden="false"/>
    </xf>
    <xf numFmtId="164" fontId="15" fillId="0" borderId="19" xfId="0" applyFont="true" applyBorder="true" applyAlignment="true" applyProtection="false">
      <alignment horizontal="center" vertical="center" textRotation="0" wrapText="false" indent="0" shrinkToFit="false"/>
      <protection locked="true" hidden="false"/>
    </xf>
    <xf numFmtId="164" fontId="15" fillId="3" borderId="19" xfId="0" applyFont="true" applyBorder="true" applyAlignment="true" applyProtection="false">
      <alignment horizontal="center" vertical="center" textRotation="0" wrapText="false" indent="0" shrinkToFit="false"/>
      <protection locked="true" hidden="false"/>
    </xf>
    <xf numFmtId="164" fontId="15" fillId="3" borderId="18" xfId="0" applyFont="true" applyBorder="true" applyAlignment="true" applyProtection="false">
      <alignment horizontal="center" vertical="center" textRotation="0" wrapText="false" indent="0" shrinkToFit="false"/>
      <protection locked="true" hidden="false"/>
    </xf>
    <xf numFmtId="164" fontId="15" fillId="0" borderId="20" xfId="0" applyFont="true" applyBorder="true" applyAlignment="true" applyProtection="false">
      <alignment horizontal="center" vertical="center" textRotation="0" wrapText="false" indent="0" shrinkToFit="false"/>
      <protection locked="true" hidden="false"/>
    </xf>
    <xf numFmtId="164" fontId="15" fillId="4" borderId="21" xfId="0" applyFont="true" applyBorder="true" applyAlignment="true" applyProtection="false">
      <alignment horizontal="center" vertical="center" textRotation="0" wrapText="false" indent="0" shrinkToFit="false"/>
      <protection locked="true" hidden="false"/>
    </xf>
    <xf numFmtId="164" fontId="15" fillId="0" borderId="22" xfId="0" applyFont="true" applyBorder="true" applyAlignment="true" applyProtection="false">
      <alignment horizontal="center" vertical="center" textRotation="0" wrapText="false" indent="0" shrinkToFit="false"/>
      <protection locked="true" hidden="false"/>
    </xf>
    <xf numFmtId="164" fontId="15" fillId="0" borderId="23" xfId="0" applyFont="true" applyBorder="true" applyAlignment="true" applyProtection="false">
      <alignment horizontal="center" vertical="center" textRotation="0" wrapText="false" indent="0" shrinkToFit="false"/>
      <protection locked="true" hidden="false"/>
    </xf>
    <xf numFmtId="164" fontId="15" fillId="0" borderId="24" xfId="0" applyFont="true" applyBorder="true" applyAlignment="true" applyProtection="false">
      <alignment horizontal="center" vertical="center" textRotation="0" wrapText="false" indent="0" shrinkToFit="false"/>
      <protection locked="true" hidden="false"/>
    </xf>
    <xf numFmtId="164" fontId="15" fillId="3" borderId="24" xfId="0" applyFont="true" applyBorder="true" applyAlignment="true" applyProtection="false">
      <alignment horizontal="center" vertical="center" textRotation="0" wrapText="false" indent="0" shrinkToFit="false"/>
      <protection locked="true" hidden="false"/>
    </xf>
    <xf numFmtId="164" fontId="15" fillId="3" borderId="23"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2" fillId="0" borderId="25" xfId="0" applyFont="true" applyBorder="true" applyAlignment="true" applyProtection="false">
      <alignment horizontal="center" vertical="center" textRotation="0" wrapText="false" indent="0" shrinkToFit="false"/>
      <protection locked="true" hidden="false"/>
    </xf>
    <xf numFmtId="164" fontId="22" fillId="0" borderId="26" xfId="0" applyFont="true" applyBorder="true" applyAlignment="true" applyProtection="false">
      <alignment horizontal="center" vertical="center" textRotation="0" wrapText="false" indent="0" shrinkToFit="false"/>
      <protection locked="true" hidden="false"/>
    </xf>
    <xf numFmtId="164" fontId="24" fillId="0" borderId="26" xfId="0" applyFont="true" applyBorder="true" applyAlignment="true" applyProtection="false">
      <alignment horizontal="center" vertical="center" textRotation="0" wrapText="false" indent="0" shrinkToFit="false"/>
      <protection locked="true" hidden="false"/>
    </xf>
    <xf numFmtId="164" fontId="24" fillId="0" borderId="27" xfId="0" applyFont="true" applyBorder="true" applyAlignment="true" applyProtection="false">
      <alignment horizontal="center" vertical="center" textRotation="0" wrapText="false" indent="0" shrinkToFit="false"/>
      <protection locked="true" hidden="false"/>
    </xf>
    <xf numFmtId="164" fontId="15" fillId="5" borderId="7"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4" fillId="2" borderId="7"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9D9"/>
      <rgbColor rgb="FFCCFFFF"/>
      <rgbColor rgb="FF660066"/>
      <rgbColor rgb="FFFF8080"/>
      <rgbColor rgb="FF0066CC"/>
      <rgbColor rgb="FFDDD9C3"/>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9360</xdr:colOff>
      <xdr:row>0</xdr:row>
      <xdr:rowOff>0</xdr:rowOff>
    </xdr:from>
    <xdr:to>
      <xdr:col>1</xdr:col>
      <xdr:colOff>547200</xdr:colOff>
      <xdr:row>3</xdr:row>
      <xdr:rowOff>9360</xdr:rowOff>
    </xdr:to>
    <xdr:pic>
      <xdr:nvPicPr>
        <xdr:cNvPr id="1" name="image1.png"/>
        <xdr:cNvPicPr/>
      </xdr:nvPicPr>
      <xdr:blipFill>
        <a:blip r:embed="rId1"/>
        <a:stretch/>
      </xdr:blipFill>
      <xdr:spPr>
        <a:xfrm>
          <a:off x="9360" y="0"/>
          <a:ext cx="1152000" cy="1218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t-hsaad@zewailcity.edu.eg" TargetMode="External"/><Relationship Id="rId2" Type="http://schemas.openxmlformats.org/officeDocument/2006/relationships/hyperlink" Target="mailto:t-mahassan@zewailcity.edu.eg" TargetMode="External"/><Relationship Id="rId3" Type="http://schemas.openxmlformats.org/officeDocument/2006/relationships/hyperlink" Target="mailto:t-nabdullah@zewailcity.edu.eg" TargetMode="External"/><Relationship Id="rId4" Type="http://schemas.openxmlformats.org/officeDocument/2006/relationships/hyperlink" Target="mailto:t-araafat@zewailcity.edu.eg" TargetMode="External"/><Relationship Id="rId5" Type="http://schemas.openxmlformats.org/officeDocument/2006/relationships/hyperlink" Target="mailto:t-mdeyab@zewailcity.edu.eg" TargetMode="External"/><Relationship Id="rId6" Type="http://schemas.openxmlformats.org/officeDocument/2006/relationships/hyperlink" Target="mailto:t-mmagdi@zewailcity.edu.eg" TargetMode="External"/><Relationship Id="rId7" Type="http://schemas.openxmlformats.org/officeDocument/2006/relationships/hyperlink" Target="mailto:t-zahmed@zewailcity.edu.eg" TargetMode="External"/><Relationship Id="rId8" Type="http://schemas.openxmlformats.org/officeDocument/2006/relationships/hyperlink" Target="mailto:t-khaled.khattab@zewailcity.edu.eg" TargetMode="External"/><Relationship Id="rId9" Type="http://schemas.openxmlformats.org/officeDocument/2006/relationships/hyperlink" Target="mailto:t-muhammad.muhammad@zewailcity.edu.eg" TargetMode="External"/><Relationship Id="rId10" Type="http://schemas.openxmlformats.org/officeDocument/2006/relationships/hyperlink" Target="mailto:t-seifeldeen.azab@zewailcity.edu.eg" TargetMode="External"/><Relationship Id="rId11" Type="http://schemas.openxmlformats.org/officeDocument/2006/relationships/hyperlink" Target="mailto:t-mahassan@zewailcity.edu.eg" TargetMode="External"/><Relationship Id="rId12" Type="http://schemas.openxmlformats.org/officeDocument/2006/relationships/hyperlink" Target="mailto:sabbas@zewailcity.edu.eg" TargetMode="External"/><Relationship Id="rId1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00"/>
  <sheetViews>
    <sheetView showFormulas="false" showGridLines="true" showRowColHeaders="true" showZeros="true" rightToLeft="false" tabSelected="false" showOutlineSymbols="true" defaultGridColor="true" view="normal" topLeftCell="A7" colorId="64" zoomScale="60" zoomScaleNormal="6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8" min="1" style="0" width="8.71"/>
    <col collapsed="false" customWidth="true" hidden="false" outlineLevel="0" max="19" min="19" style="0" width="11"/>
    <col collapsed="false" customWidth="true" hidden="false" outlineLevel="0" max="20" min="20" style="0" width="14.57"/>
    <col collapsed="false" customWidth="true" hidden="false" outlineLevel="0" max="31" min="21" style="0" width="8.71"/>
    <col collapsed="false" customWidth="true" hidden="false" outlineLevel="0" max="32" min="32" style="0" width="9.14"/>
    <col collapsed="false" customWidth="true" hidden="false" outlineLevel="0" max="33" min="33" style="0" width="26.86"/>
    <col collapsed="false" customWidth="true" hidden="false" outlineLevel="0" max="34" min="34" style="0" width="28"/>
    <col collapsed="false" customWidth="true" hidden="false" outlineLevel="0" max="35" min="35" style="0" width="40"/>
    <col collapsed="false" customWidth="true" hidden="false" outlineLevel="0" max="36" min="36" style="0" width="8.71"/>
  </cols>
  <sheetData>
    <row r="1" customFormat="false" ht="40.5" hidden="false" customHeight="true" outlineLevel="0" collapsed="false">
      <c r="A1" s="1" t="s">
        <v>0</v>
      </c>
      <c r="B1" s="1"/>
      <c r="C1" s="1"/>
      <c r="D1" s="1"/>
      <c r="E1" s="1"/>
      <c r="F1" s="1"/>
      <c r="G1" s="1"/>
      <c r="H1" s="1"/>
      <c r="I1" s="1"/>
      <c r="J1" s="1"/>
      <c r="K1" s="1"/>
      <c r="L1" s="1"/>
      <c r="M1" s="1"/>
      <c r="N1" s="1"/>
      <c r="O1" s="1"/>
      <c r="P1" s="1"/>
      <c r="Q1" s="1"/>
      <c r="R1" s="1"/>
      <c r="S1" s="1"/>
      <c r="T1" s="1"/>
      <c r="U1" s="2"/>
      <c r="V1" s="2"/>
      <c r="W1" s="2"/>
      <c r="X1" s="2"/>
      <c r="Y1" s="2"/>
      <c r="Z1" s="2"/>
      <c r="AA1" s="2"/>
      <c r="AB1" s="2"/>
      <c r="AC1" s="2"/>
      <c r="AD1" s="2"/>
      <c r="AE1" s="2"/>
      <c r="AF1" s="2"/>
      <c r="AG1" s="2"/>
      <c r="AH1" s="2"/>
      <c r="AI1" s="2"/>
      <c r="AJ1" s="2"/>
    </row>
    <row r="2" customFormat="false" ht="40.5" hidden="false" customHeight="true" outlineLevel="0" collapsed="false">
      <c r="A2" s="3" t="s">
        <v>1</v>
      </c>
      <c r="B2" s="3"/>
      <c r="C2" s="3"/>
      <c r="D2" s="3"/>
      <c r="E2" s="3"/>
      <c r="F2" s="3"/>
      <c r="G2" s="3"/>
      <c r="H2" s="3"/>
      <c r="I2" s="3"/>
      <c r="J2" s="3"/>
      <c r="K2" s="3"/>
      <c r="L2" s="3"/>
      <c r="M2" s="3"/>
      <c r="N2" s="3"/>
      <c r="O2" s="3"/>
      <c r="P2" s="3"/>
      <c r="Q2" s="3"/>
      <c r="R2" s="3"/>
      <c r="S2" s="3"/>
      <c r="T2" s="3"/>
      <c r="U2" s="2"/>
      <c r="V2" s="2"/>
      <c r="W2" s="2"/>
      <c r="X2" s="2"/>
      <c r="Y2" s="2"/>
      <c r="Z2" s="2"/>
      <c r="AA2" s="2"/>
      <c r="AB2" s="2"/>
      <c r="AC2" s="2"/>
      <c r="AD2" s="2"/>
      <c r="AE2" s="2"/>
      <c r="AF2" s="2"/>
      <c r="AG2" s="2"/>
      <c r="AH2" s="2"/>
      <c r="AI2" s="2"/>
      <c r="AJ2" s="2"/>
    </row>
    <row r="3" customFormat="false" ht="14.25" hidden="false" customHeight="true" outlineLevel="0" collapsed="false">
      <c r="A3" s="3" t="s">
        <v>2</v>
      </c>
      <c r="B3" s="3"/>
      <c r="C3" s="3"/>
      <c r="D3" s="3"/>
      <c r="E3" s="3"/>
      <c r="F3" s="3"/>
      <c r="G3" s="3"/>
      <c r="H3" s="3"/>
      <c r="I3" s="3"/>
      <c r="J3" s="3"/>
      <c r="K3" s="3"/>
      <c r="L3" s="3"/>
      <c r="M3" s="3"/>
      <c r="N3" s="3"/>
      <c r="O3" s="3"/>
      <c r="P3" s="3"/>
      <c r="Q3" s="3"/>
      <c r="R3" s="3"/>
      <c r="S3" s="3"/>
      <c r="T3" s="3"/>
    </row>
    <row r="4" customFormat="false" ht="14.25" hidden="false" customHeight="true" outlineLevel="0" collapsed="false"/>
    <row r="5" customFormat="false" ht="20.25" hidden="false" customHeight="true" outlineLevel="0" collapsed="false">
      <c r="D5" s="4" t="s">
        <v>3</v>
      </c>
      <c r="E5" s="4"/>
      <c r="F5" s="4"/>
      <c r="G5" s="4"/>
      <c r="H5" s="4"/>
      <c r="I5" s="4"/>
      <c r="J5" s="4"/>
      <c r="K5" s="4"/>
      <c r="L5" s="4"/>
      <c r="M5" s="4"/>
      <c r="N5" s="4"/>
      <c r="O5" s="4"/>
      <c r="P5" s="4"/>
      <c r="Q5" s="4"/>
      <c r="R5" s="4"/>
      <c r="S5" s="4"/>
      <c r="T5" s="4"/>
    </row>
    <row r="6" customFormat="false" ht="20.25" hidden="false" customHeight="true" outlineLevel="0" collapsed="false">
      <c r="D6" s="5"/>
      <c r="E6" s="5"/>
      <c r="F6" s="6" t="s">
        <v>4</v>
      </c>
      <c r="G6" s="6"/>
      <c r="H6" s="6"/>
      <c r="I6" s="6" t="s">
        <v>5</v>
      </c>
      <c r="J6" s="6"/>
      <c r="K6" s="6"/>
      <c r="L6" s="6" t="s">
        <v>6</v>
      </c>
      <c r="M6" s="6"/>
      <c r="N6" s="6"/>
      <c r="O6" s="6" t="s">
        <v>7</v>
      </c>
      <c r="P6" s="6"/>
      <c r="Q6" s="6"/>
      <c r="R6" s="6" t="s">
        <v>8</v>
      </c>
      <c r="S6" s="6"/>
      <c r="T6" s="6"/>
    </row>
    <row r="7" customFormat="false" ht="14.25" hidden="false" customHeight="true" outlineLevel="0" collapsed="false">
      <c r="D7" s="7" t="s">
        <v>9</v>
      </c>
      <c r="E7" s="7"/>
      <c r="F7" s="6"/>
      <c r="G7" s="6"/>
      <c r="H7" s="6"/>
      <c r="I7" s="6"/>
      <c r="J7" s="6"/>
      <c r="K7" s="6"/>
      <c r="L7" s="6"/>
      <c r="M7" s="6"/>
      <c r="N7" s="6"/>
      <c r="O7" s="6"/>
      <c r="P7" s="6"/>
      <c r="Q7" s="6"/>
      <c r="R7" s="6"/>
      <c r="S7" s="6"/>
      <c r="T7" s="6"/>
    </row>
    <row r="8" customFormat="false" ht="14.25" hidden="false" customHeight="true" outlineLevel="0" collapsed="false">
      <c r="D8" s="7" t="s">
        <v>10</v>
      </c>
      <c r="E8" s="7"/>
      <c r="F8" s="6"/>
      <c r="G8" s="6"/>
      <c r="H8" s="6"/>
      <c r="I8" s="6"/>
      <c r="J8" s="6"/>
      <c r="K8" s="6"/>
      <c r="L8" s="6"/>
      <c r="M8" s="6"/>
      <c r="N8" s="6"/>
      <c r="O8" s="6"/>
      <c r="P8" s="6"/>
      <c r="Q8" s="6"/>
      <c r="R8" s="6"/>
      <c r="S8" s="6"/>
      <c r="T8" s="6"/>
    </row>
    <row r="9" customFormat="false" ht="15.75" hidden="false" customHeight="true" outlineLevel="0" collapsed="false">
      <c r="D9" s="7" t="s">
        <v>11</v>
      </c>
      <c r="E9" s="7"/>
      <c r="F9" s="6"/>
      <c r="G9" s="6"/>
      <c r="H9" s="6"/>
      <c r="I9" s="6"/>
      <c r="J9" s="6"/>
      <c r="K9" s="6"/>
      <c r="L9" s="6"/>
      <c r="M9" s="6"/>
      <c r="N9" s="6"/>
      <c r="O9" s="6"/>
      <c r="P9" s="6"/>
      <c r="Q9" s="6"/>
      <c r="R9" s="6"/>
      <c r="S9" s="6"/>
      <c r="T9" s="6"/>
    </row>
    <row r="10" customFormat="false" ht="15.75" hidden="false" customHeight="true" outlineLevel="0" collapsed="false">
      <c r="D10" s="7" t="s">
        <v>12</v>
      </c>
      <c r="E10" s="7"/>
      <c r="F10" s="8"/>
      <c r="G10" s="8"/>
      <c r="H10" s="8"/>
      <c r="I10" s="8"/>
      <c r="J10" s="8"/>
      <c r="K10" s="8"/>
      <c r="L10" s="6"/>
      <c r="M10" s="6"/>
      <c r="N10" s="6"/>
      <c r="O10" s="6"/>
      <c r="P10" s="6"/>
      <c r="Q10" s="6"/>
      <c r="R10" s="6"/>
      <c r="S10" s="6"/>
      <c r="T10" s="6"/>
    </row>
    <row r="11" customFormat="false" ht="14.25" hidden="false" customHeight="true" outlineLevel="0" collapsed="false">
      <c r="D11" s="7" t="s">
        <v>13</v>
      </c>
      <c r="E11" s="7"/>
      <c r="F11" s="9"/>
      <c r="G11" s="9"/>
      <c r="H11" s="9"/>
      <c r="I11" s="9"/>
      <c r="J11" s="9"/>
      <c r="K11" s="9"/>
      <c r="L11" s="9"/>
      <c r="M11" s="9"/>
      <c r="N11" s="9"/>
      <c r="O11" s="10"/>
      <c r="P11" s="11"/>
      <c r="Q11" s="11"/>
      <c r="R11" s="11"/>
      <c r="S11" s="11"/>
    </row>
    <row r="12" customFormat="false" ht="14.25" hidden="false" customHeight="true" outlineLevel="0" collapsed="false">
      <c r="D12" s="7" t="s">
        <v>14</v>
      </c>
      <c r="E12" s="7"/>
      <c r="F12" s="5"/>
      <c r="G12" s="5"/>
      <c r="H12" s="5"/>
      <c r="I12" s="5"/>
      <c r="J12" s="5"/>
      <c r="K12" s="5"/>
      <c r="L12" s="5"/>
      <c r="M12" s="5"/>
      <c r="N12" s="5"/>
      <c r="O12" s="10"/>
      <c r="P12" s="11"/>
      <c r="Q12" s="11"/>
      <c r="R12" s="11"/>
      <c r="S12" s="11"/>
    </row>
    <row r="13" customFormat="false" ht="14.25" hidden="false" customHeight="true" outlineLevel="0" collapsed="false">
      <c r="D13" s="7" t="s">
        <v>15</v>
      </c>
      <c r="E13" s="7"/>
      <c r="F13" s="6"/>
      <c r="G13" s="6"/>
      <c r="H13" s="6"/>
      <c r="I13" s="6"/>
      <c r="J13" s="6"/>
      <c r="K13" s="6"/>
      <c r="L13" s="6"/>
      <c r="M13" s="6"/>
      <c r="N13" s="6"/>
      <c r="O13" s="10"/>
      <c r="P13" s="11"/>
      <c r="Q13" s="11"/>
      <c r="R13" s="11"/>
      <c r="S13" s="11"/>
    </row>
    <row r="14" customFormat="false" ht="14.25" hidden="false" customHeight="true" outlineLevel="0" collapsed="false">
      <c r="D14" s="7" t="s">
        <v>16</v>
      </c>
      <c r="E14" s="7"/>
      <c r="F14" s="6"/>
      <c r="G14" s="6"/>
      <c r="H14" s="6"/>
      <c r="I14" s="6"/>
      <c r="J14" s="6"/>
      <c r="K14" s="6"/>
      <c r="L14" s="6"/>
      <c r="M14" s="6"/>
      <c r="N14" s="6"/>
      <c r="O14" s="10"/>
      <c r="P14" s="11"/>
      <c r="Q14" s="11"/>
      <c r="R14" s="11"/>
      <c r="S14" s="11"/>
      <c r="AG14" s="12" t="s">
        <v>14</v>
      </c>
      <c r="AH14" s="12" t="s">
        <v>16</v>
      </c>
      <c r="AI14" s="12" t="s">
        <v>17</v>
      </c>
    </row>
    <row r="15" customFormat="false" ht="14.25" hidden="false" customHeight="true" outlineLevel="0" collapsed="false">
      <c r="D15" s="7" t="s">
        <v>17</v>
      </c>
      <c r="E15" s="7"/>
      <c r="F15" s="8" t="str">
        <f aca="true">IF((F14&lt;&gt;""),OFFSET($AH$14,MATCH(F14,AH15:AH31,0),1,1),"")</f>
        <v/>
      </c>
      <c r="G15" s="8"/>
      <c r="H15" s="8"/>
      <c r="I15" s="8"/>
      <c r="J15" s="8"/>
      <c r="K15" s="8"/>
      <c r="L15" s="8"/>
      <c r="M15" s="8"/>
      <c r="N15" s="8"/>
      <c r="O15" s="10"/>
      <c r="P15" s="11"/>
      <c r="Q15" s="11"/>
      <c r="R15" s="11"/>
      <c r="S15" s="11"/>
      <c r="AG15" s="12" t="s">
        <v>18</v>
      </c>
      <c r="AH15" s="12" t="s">
        <v>19</v>
      </c>
      <c r="AI15" s="13" t="s">
        <v>20</v>
      </c>
    </row>
    <row r="16" customFormat="false" ht="14.25" hidden="false" customHeight="true" outlineLevel="0" collapsed="false">
      <c r="D16" s="7" t="s">
        <v>21</v>
      </c>
      <c r="E16" s="7"/>
      <c r="F16" s="6"/>
      <c r="G16" s="6"/>
      <c r="H16" s="6"/>
      <c r="I16" s="6"/>
      <c r="J16" s="6"/>
      <c r="K16" s="6"/>
      <c r="L16" s="6"/>
      <c r="M16" s="6"/>
      <c r="N16" s="6"/>
      <c r="O16" s="10"/>
      <c r="P16" s="11"/>
      <c r="Q16" s="11"/>
      <c r="R16" s="11"/>
      <c r="S16" s="11"/>
      <c r="AG16" s="12" t="s">
        <v>22</v>
      </c>
      <c r="AH16" s="12" t="s">
        <v>23</v>
      </c>
      <c r="AI16" s="13" t="s">
        <v>24</v>
      </c>
    </row>
    <row r="17" customFormat="false" ht="14.25" hidden="false" customHeight="true" outlineLevel="0" collapsed="false">
      <c r="D17" s="7" t="s">
        <v>25</v>
      </c>
      <c r="E17" s="7"/>
      <c r="F17" s="6"/>
      <c r="G17" s="6"/>
      <c r="H17" s="6"/>
      <c r="I17" s="6"/>
      <c r="J17" s="6"/>
      <c r="K17" s="6"/>
      <c r="L17" s="6"/>
      <c r="M17" s="6"/>
      <c r="N17" s="6"/>
      <c r="O17" s="10"/>
      <c r="P17" s="11"/>
      <c r="Q17" s="11"/>
      <c r="R17" s="11"/>
      <c r="S17" s="11"/>
      <c r="AG17" s="12" t="s">
        <v>26</v>
      </c>
      <c r="AH17" s="12" t="s">
        <v>27</v>
      </c>
      <c r="AI17" s="13" t="s">
        <v>28</v>
      </c>
    </row>
    <row r="18" customFormat="false" ht="14.25" hidden="false" customHeight="true" outlineLevel="0" collapsed="false">
      <c r="F18" s="14"/>
      <c r="G18" s="14"/>
      <c r="H18" s="15"/>
      <c r="I18" s="15"/>
      <c r="J18" s="15"/>
      <c r="K18" s="15"/>
      <c r="L18" s="15"/>
      <c r="M18" s="15"/>
      <c r="W18" s="16"/>
      <c r="AG18" s="12" t="s">
        <v>29</v>
      </c>
      <c r="AH18" s="12" t="s">
        <v>30</v>
      </c>
      <c r="AI18" s="13" t="s">
        <v>31</v>
      </c>
    </row>
    <row r="19" customFormat="false" ht="18.75" hidden="false" customHeight="true" outlineLevel="0" collapsed="false">
      <c r="E19" s="17" t="s">
        <v>32</v>
      </c>
      <c r="F19" s="17"/>
      <c r="G19" s="17"/>
      <c r="H19" s="6" t="str">
        <f aca="false">IF(AND(F7&lt;&gt;"",F8&lt;&gt;"",F9&lt;&gt;""),CONCATENATE("Section ",F9," - ",A2," - ",F7," - ",F8),"Fill your personal information above")</f>
        <v>Fill your personal information above</v>
      </c>
      <c r="I19" s="6"/>
      <c r="J19" s="6"/>
      <c r="K19" s="6"/>
      <c r="L19" s="6"/>
      <c r="M19" s="6"/>
      <c r="W19" s="16"/>
      <c r="AG19" s="12" t="s">
        <v>33</v>
      </c>
      <c r="AH19" s="12" t="s">
        <v>34</v>
      </c>
      <c r="AI19" s="13" t="s">
        <v>35</v>
      </c>
    </row>
    <row r="20" customFormat="false" ht="18.75" hidden="false" customHeight="true" outlineLevel="0" collapsed="false">
      <c r="E20" s="17"/>
      <c r="F20" s="17"/>
      <c r="G20" s="17"/>
      <c r="H20" s="6"/>
      <c r="I20" s="6"/>
      <c r="J20" s="6"/>
      <c r="K20" s="6"/>
      <c r="L20" s="6"/>
      <c r="M20" s="6"/>
      <c r="W20" s="16"/>
      <c r="AG20" s="12"/>
      <c r="AH20" s="12" t="s">
        <v>36</v>
      </c>
      <c r="AI20" s="13" t="s">
        <v>37</v>
      </c>
    </row>
    <row r="21" customFormat="false" ht="18.75" hidden="false" customHeight="true" outlineLevel="0" collapsed="false">
      <c r="A21" s="18"/>
      <c r="E21" s="19" t="s">
        <v>38</v>
      </c>
      <c r="F21" s="19"/>
      <c r="G21" s="19"/>
      <c r="H21" s="6" t="str">
        <f aca="false">IF(AND(I7&lt;&gt;"",I8&lt;&gt;"",I9&lt;&gt;""),CONCATENATE("Section ",I9," - ",A2," - ",I7," - ",I8),"Fill your personal information above")</f>
        <v>Fill your personal information above</v>
      </c>
      <c r="I21" s="6"/>
      <c r="J21" s="6"/>
      <c r="K21" s="6"/>
      <c r="L21" s="6"/>
      <c r="M21" s="6"/>
      <c r="W21" s="16"/>
      <c r="AG21" s="12"/>
      <c r="AH21" s="12" t="s">
        <v>39</v>
      </c>
      <c r="AI21" s="13" t="s">
        <v>40</v>
      </c>
    </row>
    <row r="22" customFormat="false" ht="18.75" hidden="false" customHeight="true" outlineLevel="0" collapsed="false">
      <c r="A22" s="18"/>
      <c r="E22" s="19"/>
      <c r="F22" s="19"/>
      <c r="G22" s="19"/>
      <c r="H22" s="6"/>
      <c r="I22" s="6"/>
      <c r="J22" s="6"/>
      <c r="K22" s="6"/>
      <c r="L22" s="6"/>
      <c r="M22" s="6"/>
      <c r="W22" s="16"/>
      <c r="AG22" s="12"/>
      <c r="AH22" s="12" t="s">
        <v>41</v>
      </c>
      <c r="AI22" s="13" t="s">
        <v>42</v>
      </c>
    </row>
    <row r="23" customFormat="false" ht="18.75" hidden="false" customHeight="true" outlineLevel="0" collapsed="false">
      <c r="A23" s="18"/>
      <c r="E23" s="19" t="s">
        <v>43</v>
      </c>
      <c r="F23" s="19"/>
      <c r="G23" s="19"/>
      <c r="H23" s="6" t="str">
        <f aca="false">IF(AND(L7&lt;&gt;"",L8&lt;&gt;"",L9&lt;&gt;""),CONCATENATE("Section ",L9," - ",A2," - ",L7," - ",L8),"Fill your personal information above")</f>
        <v>Fill your personal information above</v>
      </c>
      <c r="I23" s="6"/>
      <c r="J23" s="6"/>
      <c r="K23" s="6"/>
      <c r="L23" s="6"/>
      <c r="M23" s="6"/>
      <c r="W23" s="16"/>
      <c r="AG23" s="12"/>
      <c r="AH23" s="12" t="s">
        <v>44</v>
      </c>
      <c r="AI23" s="13" t="s">
        <v>45</v>
      </c>
      <c r="AJ23" s="13"/>
    </row>
    <row r="24" customFormat="false" ht="18.75" hidden="false" customHeight="true" outlineLevel="0" collapsed="false">
      <c r="A24" s="18"/>
      <c r="E24" s="19"/>
      <c r="F24" s="19"/>
      <c r="G24" s="19"/>
      <c r="H24" s="6"/>
      <c r="I24" s="6"/>
      <c r="J24" s="6"/>
      <c r="K24" s="6"/>
      <c r="L24" s="6"/>
      <c r="M24" s="6"/>
      <c r="W24" s="16"/>
      <c r="AG24" s="12"/>
      <c r="AH24" s="12" t="s">
        <v>46</v>
      </c>
      <c r="AI24" s="13" t="s">
        <v>47</v>
      </c>
    </row>
    <row r="25" customFormat="false" ht="20.25" hidden="false" customHeight="true" outlineLevel="0" collapsed="false">
      <c r="A25" s="18"/>
      <c r="E25" s="19" t="s">
        <v>48</v>
      </c>
      <c r="F25" s="19"/>
      <c r="G25" s="19"/>
      <c r="H25" s="6" t="str">
        <f aca="false">IF(AND(O7&lt;&gt;"",O8&lt;&gt;"",O9&lt;&gt;""),CONCATENATE("Section ",O9," -",A2," - ",O7," - ",O8),"Fill your personal information above")</f>
        <v>Fill your personal information above</v>
      </c>
      <c r="I25" s="6"/>
      <c r="J25" s="6"/>
      <c r="K25" s="6"/>
      <c r="L25" s="6"/>
      <c r="M25" s="6"/>
      <c r="W25" s="16"/>
      <c r="AG25" s="12"/>
      <c r="AH25" s="12" t="s">
        <v>49</v>
      </c>
      <c r="AI25" s="13" t="s">
        <v>50</v>
      </c>
    </row>
    <row r="26" customFormat="false" ht="14.25" hidden="false" customHeight="true" outlineLevel="0" collapsed="false">
      <c r="E26" s="19"/>
      <c r="F26" s="19"/>
      <c r="G26" s="19"/>
      <c r="H26" s="6"/>
      <c r="I26" s="6"/>
      <c r="J26" s="6"/>
      <c r="K26" s="6"/>
      <c r="L26" s="6"/>
      <c r="M26" s="6"/>
      <c r="W26" s="16"/>
      <c r="AG26" s="12"/>
      <c r="AH26" s="12" t="s">
        <v>51</v>
      </c>
      <c r="AI26" s="13" t="s">
        <v>52</v>
      </c>
    </row>
    <row r="27" customFormat="false" ht="14.25" hidden="false" customHeight="true" outlineLevel="0" collapsed="false">
      <c r="E27" s="19" t="s">
        <v>53</v>
      </c>
      <c r="F27" s="19"/>
      <c r="G27" s="19"/>
      <c r="H27" s="6" t="str">
        <f aca="false">IF(AND(R7&lt;&gt;"",R8&lt;&gt;"",R9&lt;&gt;""),CONCATENATE("Section ",R9," - ",A2," - ",R7," - ",R8),"Fill your personal information above")</f>
        <v>Fill your personal information above</v>
      </c>
      <c r="I27" s="6"/>
      <c r="J27" s="6"/>
      <c r="K27" s="6"/>
      <c r="L27" s="6"/>
      <c r="M27" s="6"/>
      <c r="W27" s="13"/>
      <c r="Y27" s="16"/>
      <c r="AG27" s="12"/>
      <c r="AH27" s="12" t="s">
        <v>54</v>
      </c>
      <c r="AI27" s="13" t="s">
        <v>55</v>
      </c>
    </row>
    <row r="28" customFormat="false" ht="14.25" hidden="false" customHeight="true" outlineLevel="0" collapsed="false">
      <c r="E28" s="19"/>
      <c r="F28" s="19"/>
      <c r="G28" s="19"/>
      <c r="H28" s="6"/>
      <c r="I28" s="6"/>
      <c r="J28" s="6"/>
      <c r="K28" s="6"/>
      <c r="L28" s="6"/>
      <c r="M28" s="6"/>
      <c r="W28" s="13"/>
      <c r="AG28" s="12"/>
      <c r="AH28" s="12" t="s">
        <v>56</v>
      </c>
      <c r="AI28" s="13" t="s">
        <v>57</v>
      </c>
    </row>
    <row r="29" customFormat="false" ht="14.25" hidden="false" customHeight="true" outlineLevel="0" collapsed="false">
      <c r="W29" s="13"/>
      <c r="AG29" s="12"/>
      <c r="AH29" s="12"/>
      <c r="AI29" s="13"/>
    </row>
    <row r="30" customFormat="false" ht="14.25" hidden="false" customHeight="true" outlineLevel="0" collapsed="false">
      <c r="E30" s="20" t="s">
        <v>58</v>
      </c>
      <c r="F30" s="20"/>
      <c r="G30" s="20"/>
      <c r="H30" s="20"/>
      <c r="I30" s="20"/>
      <c r="J30" s="20"/>
      <c r="K30" s="20"/>
      <c r="L30" s="20"/>
      <c r="M30" s="20"/>
      <c r="N30" s="20"/>
      <c r="O30" s="21"/>
      <c r="W30" s="13"/>
      <c r="AG30" s="12"/>
      <c r="AH30" s="12"/>
      <c r="AI30" s="22"/>
    </row>
    <row r="31" customFormat="false" ht="14.25" hidden="false" customHeight="true" outlineLevel="0" collapsed="false">
      <c r="W31" s="13"/>
      <c r="AG31" s="12"/>
      <c r="AH31" s="12"/>
      <c r="AI31" s="22"/>
    </row>
    <row r="32" customFormat="false" ht="14.25" hidden="false" customHeight="true" outlineLevel="0" collapsed="false"/>
    <row r="33" customFormat="false" ht="14.25" hidden="false" customHeight="true" outlineLevel="0" collapsed="false">
      <c r="C33" s="23" t="s">
        <v>59</v>
      </c>
      <c r="D33" s="23"/>
      <c r="E33" s="23"/>
      <c r="F33" s="23"/>
      <c r="G33" s="23"/>
      <c r="H33" s="23"/>
      <c r="I33" s="23"/>
      <c r="J33" s="23"/>
      <c r="K33" s="23"/>
      <c r="L33" s="23"/>
      <c r="M33" s="23"/>
      <c r="N33" s="23"/>
      <c r="O33" s="23"/>
      <c r="P33" s="23"/>
      <c r="Q33" s="23"/>
    </row>
    <row r="34" customFormat="false" ht="14.25" hidden="false" customHeight="true" outlineLevel="0" collapsed="false">
      <c r="C34" s="24"/>
      <c r="D34" s="24"/>
      <c r="E34" s="24"/>
      <c r="F34" s="24"/>
      <c r="G34" s="24"/>
      <c r="H34" s="24"/>
      <c r="I34" s="24"/>
      <c r="J34" s="24"/>
      <c r="K34" s="24"/>
      <c r="L34" s="24"/>
      <c r="M34" s="24"/>
      <c r="N34" s="24"/>
      <c r="O34" s="24"/>
      <c r="P34" s="24"/>
      <c r="Q34" s="24"/>
    </row>
    <row r="35" customFormat="false" ht="14.25" hidden="false" customHeight="true" outlineLevel="0" collapsed="false">
      <c r="C35" s="24"/>
      <c r="D35" s="24"/>
      <c r="E35" s="24"/>
      <c r="F35" s="24"/>
      <c r="G35" s="24"/>
      <c r="H35" s="24"/>
      <c r="I35" s="24"/>
      <c r="J35" s="24"/>
      <c r="K35" s="24"/>
      <c r="L35" s="24"/>
      <c r="M35" s="24"/>
      <c r="N35" s="24"/>
      <c r="O35" s="24"/>
      <c r="P35" s="24"/>
      <c r="Q35" s="24"/>
    </row>
    <row r="36" customFormat="false" ht="14.25" hidden="false" customHeight="true" outlineLevel="0" collapsed="false">
      <c r="C36" s="24"/>
      <c r="D36" s="24"/>
      <c r="E36" s="24"/>
      <c r="F36" s="24"/>
      <c r="G36" s="24"/>
      <c r="H36" s="24"/>
      <c r="I36" s="24"/>
      <c r="J36" s="24"/>
      <c r="K36" s="24"/>
      <c r="L36" s="24"/>
      <c r="M36" s="24"/>
      <c r="N36" s="24"/>
      <c r="O36" s="24"/>
      <c r="P36" s="24"/>
      <c r="Q36" s="24"/>
    </row>
    <row r="37" customFormat="false" ht="14.25" hidden="false" customHeight="true" outlineLevel="0" collapsed="false">
      <c r="C37" s="24"/>
      <c r="D37" s="24"/>
      <c r="E37" s="24"/>
      <c r="F37" s="24"/>
      <c r="G37" s="24"/>
      <c r="H37" s="24"/>
      <c r="I37" s="24"/>
      <c r="J37" s="24"/>
      <c r="K37" s="24"/>
      <c r="L37" s="24"/>
      <c r="M37" s="24"/>
      <c r="N37" s="24"/>
      <c r="O37" s="24"/>
      <c r="P37" s="24"/>
      <c r="Q37" s="24"/>
    </row>
    <row r="38" customFormat="false" ht="14.25" hidden="false" customHeight="true" outlineLevel="0" collapsed="false">
      <c r="C38" s="24"/>
      <c r="D38" s="24"/>
      <c r="E38" s="24"/>
      <c r="F38" s="24"/>
      <c r="G38" s="24"/>
      <c r="H38" s="24"/>
      <c r="I38" s="24"/>
      <c r="J38" s="24"/>
      <c r="K38" s="24"/>
      <c r="L38" s="24"/>
      <c r="M38" s="24"/>
      <c r="N38" s="24"/>
      <c r="O38" s="24"/>
      <c r="P38" s="24"/>
      <c r="Q38" s="24"/>
    </row>
    <row r="39" customFormat="false" ht="14.25" hidden="false" customHeight="true" outlineLevel="0" collapsed="false">
      <c r="C39" s="25"/>
      <c r="D39" s="25"/>
      <c r="E39" s="25"/>
      <c r="F39" s="25"/>
      <c r="G39" s="25"/>
      <c r="H39" s="25"/>
      <c r="I39" s="25"/>
      <c r="J39" s="25"/>
      <c r="K39" s="25"/>
      <c r="L39" s="25"/>
      <c r="M39" s="25"/>
      <c r="N39" s="25"/>
      <c r="O39" s="25"/>
      <c r="P39" s="25"/>
      <c r="Q39" s="25"/>
    </row>
    <row r="40" customFormat="false" ht="14.25" hidden="false" customHeight="true" outlineLevel="0" collapsed="false"/>
    <row r="41" customFormat="false" ht="14.25" hidden="false" customHeight="true" outlineLevel="0" collapsed="false">
      <c r="C41" s="26" t="s">
        <v>60</v>
      </c>
      <c r="D41" s="26"/>
      <c r="E41" s="26"/>
      <c r="F41" s="26"/>
      <c r="G41" s="26"/>
      <c r="H41" s="26"/>
      <c r="I41" s="26"/>
      <c r="J41" s="26"/>
      <c r="K41" s="26"/>
      <c r="L41" s="26"/>
      <c r="M41" s="26"/>
      <c r="N41" s="26"/>
      <c r="O41" s="26"/>
      <c r="P41" s="26"/>
      <c r="Q41" s="26"/>
      <c r="R41" s="26"/>
    </row>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7">
    <mergeCell ref="A1:T1"/>
    <mergeCell ref="A2:T2"/>
    <mergeCell ref="A3:T3"/>
    <mergeCell ref="D5:T5"/>
    <mergeCell ref="D6:E6"/>
    <mergeCell ref="F6:H6"/>
    <mergeCell ref="I6:K6"/>
    <mergeCell ref="L6:N6"/>
    <mergeCell ref="O6:Q6"/>
    <mergeCell ref="R6:T6"/>
    <mergeCell ref="D7:E7"/>
    <mergeCell ref="F7:H7"/>
    <mergeCell ref="I7:K7"/>
    <mergeCell ref="L7:N7"/>
    <mergeCell ref="O7:Q7"/>
    <mergeCell ref="R7:T7"/>
    <mergeCell ref="D8:E8"/>
    <mergeCell ref="F8:H8"/>
    <mergeCell ref="I8:K8"/>
    <mergeCell ref="L8:N8"/>
    <mergeCell ref="O8:Q8"/>
    <mergeCell ref="R8:T8"/>
    <mergeCell ref="D9:E9"/>
    <mergeCell ref="F9:H9"/>
    <mergeCell ref="I9:K9"/>
    <mergeCell ref="L9:N9"/>
    <mergeCell ref="O9:Q9"/>
    <mergeCell ref="R9:T9"/>
    <mergeCell ref="D10:E10"/>
    <mergeCell ref="F10:H10"/>
    <mergeCell ref="I10:K10"/>
    <mergeCell ref="L10:N10"/>
    <mergeCell ref="O10:Q10"/>
    <mergeCell ref="R10:T10"/>
    <mergeCell ref="D11:E11"/>
    <mergeCell ref="F11:N11"/>
    <mergeCell ref="D12:E12"/>
    <mergeCell ref="F12:N12"/>
    <mergeCell ref="D13:E13"/>
    <mergeCell ref="F13:N13"/>
    <mergeCell ref="D14:E14"/>
    <mergeCell ref="F14:N14"/>
    <mergeCell ref="D15:E15"/>
    <mergeCell ref="F15:N15"/>
    <mergeCell ref="D16:E16"/>
    <mergeCell ref="F16:N16"/>
    <mergeCell ref="D17:E17"/>
    <mergeCell ref="F17:N17"/>
    <mergeCell ref="E19:G20"/>
    <mergeCell ref="H19:M20"/>
    <mergeCell ref="E21:G22"/>
    <mergeCell ref="H21:M22"/>
    <mergeCell ref="E23:G24"/>
    <mergeCell ref="H23:M24"/>
    <mergeCell ref="E25:G26"/>
    <mergeCell ref="H25:M26"/>
    <mergeCell ref="E27:G28"/>
    <mergeCell ref="H27:M28"/>
    <mergeCell ref="E30:N30"/>
    <mergeCell ref="C33:Q33"/>
    <mergeCell ref="C34:Q34"/>
    <mergeCell ref="C35:Q35"/>
    <mergeCell ref="C36:Q36"/>
    <mergeCell ref="C37:Q37"/>
    <mergeCell ref="C38:Q38"/>
    <mergeCell ref="C39:Q39"/>
    <mergeCell ref="C41:R41"/>
  </mergeCells>
  <dataValidations count="2">
    <dataValidation allowBlank="true" errorStyle="stop" operator="between" showDropDown="false" showErrorMessage="true" showInputMessage="false" sqref="F12" type="list">
      <formula1>$AG$15:$AG$18</formula1>
      <formula2>0</formula2>
    </dataValidation>
    <dataValidation allowBlank="true" errorStyle="stop" operator="between" showDropDown="false" showErrorMessage="true" showInputMessage="false" sqref="F14" type="list">
      <formula1>$AH$15:$AH$31</formula1>
      <formula2>0</formula2>
    </dataValidation>
  </dataValidations>
  <hyperlinks>
    <hyperlink ref="AI15" r:id="rId1" display="t-hsaad@zewailcity.edu.eg"/>
    <hyperlink ref="AI16" r:id="rId2" display="t-mahassan@zewailcity.edu.eg"/>
    <hyperlink ref="AI17" r:id="rId3" display="t-nabdullah@zewailcity.edu.eg"/>
    <hyperlink ref="AI19" r:id="rId4" display="t-araafat@zewailcity.edu.eg"/>
    <hyperlink ref="AI20" r:id="rId5" display="t-mdeyab@zewailcity.edu.eg"/>
    <hyperlink ref="AI21" r:id="rId6" display="t-mmagdi@zewailcity.edu.eg"/>
    <hyperlink ref="AI22" r:id="rId7" display="t-zahmed@zewailcity.edu.eg"/>
    <hyperlink ref="AI24" r:id="rId8" display="t-khaled.khattab@zewailcity.edu.eg"/>
    <hyperlink ref="AI25" r:id="rId9" display="t-muhammad.muhammad@zewailcity.edu.eg"/>
    <hyperlink ref="AI26" r:id="rId10" display="t-seifeldeen.azab@zewailcity.edu.eg"/>
    <hyperlink ref="AI27" r:id="rId11" display="aparsi@zewailcity.edu.eg"/>
    <hyperlink ref="AI28" r:id="rId12" display="sabbas@zewailcity.edu.eg"/>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5" min="1" style="0" width="9.86"/>
  </cols>
  <sheetData>
    <row r="1" customFormat="false" ht="14.25" hidden="false" customHeight="true" outlineLevel="0" collapsed="false">
      <c r="A1" s="27" t="s">
        <v>61</v>
      </c>
      <c r="B1" s="27"/>
      <c r="C1" s="27"/>
      <c r="D1" s="27"/>
      <c r="E1" s="27"/>
      <c r="F1" s="27"/>
      <c r="G1" s="27"/>
      <c r="H1" s="27"/>
      <c r="I1" s="27"/>
      <c r="J1" s="27"/>
      <c r="K1" s="27"/>
      <c r="L1" s="27"/>
      <c r="M1" s="27"/>
      <c r="N1" s="27"/>
      <c r="O1" s="27"/>
    </row>
    <row r="2" customFormat="false" ht="14.25" hidden="false" customHeight="true" outlineLevel="0" collapsed="false">
      <c r="A2" s="26" t="s">
        <v>62</v>
      </c>
      <c r="B2" s="26"/>
      <c r="C2" s="26"/>
      <c r="D2" s="26"/>
      <c r="E2" s="26"/>
      <c r="F2" s="26"/>
      <c r="G2" s="26"/>
      <c r="H2" s="26"/>
      <c r="I2" s="26"/>
      <c r="J2" s="26"/>
      <c r="K2" s="26"/>
      <c r="L2" s="26"/>
      <c r="M2" s="26"/>
      <c r="N2" s="26"/>
      <c r="O2" s="26"/>
    </row>
    <row r="3" customFormat="false" ht="14.25" hidden="false" customHeight="true" outlineLevel="0" collapsed="false">
      <c r="A3" s="26" t="s">
        <v>63</v>
      </c>
      <c r="B3" s="26"/>
      <c r="C3" s="26"/>
      <c r="D3" s="26"/>
      <c r="E3" s="26"/>
      <c r="F3" s="26"/>
      <c r="G3" s="26"/>
      <c r="H3" s="26"/>
      <c r="I3" s="26"/>
      <c r="J3" s="26"/>
      <c r="K3" s="26"/>
      <c r="L3" s="26"/>
      <c r="M3" s="26"/>
      <c r="N3" s="26"/>
      <c r="O3" s="26"/>
    </row>
    <row r="4" customFormat="false" ht="14.25" hidden="false" customHeight="true" outlineLevel="0" collapsed="false">
      <c r="A4" s="26" t="s">
        <v>64</v>
      </c>
      <c r="B4" s="26"/>
      <c r="C4" s="26"/>
      <c r="D4" s="26"/>
      <c r="E4" s="26"/>
      <c r="F4" s="26"/>
      <c r="G4" s="26"/>
      <c r="H4" s="26"/>
      <c r="I4" s="26"/>
      <c r="J4" s="26"/>
      <c r="K4" s="26"/>
      <c r="L4" s="26"/>
      <c r="M4" s="26"/>
      <c r="N4" s="26"/>
      <c r="O4" s="26"/>
    </row>
    <row r="5" customFormat="false" ht="14.25" hidden="false" customHeight="true" outlineLevel="0" collapsed="false">
      <c r="A5" s="26" t="s">
        <v>65</v>
      </c>
      <c r="B5" s="26"/>
      <c r="C5" s="26"/>
      <c r="D5" s="26"/>
      <c r="E5" s="26"/>
      <c r="F5" s="26"/>
      <c r="G5" s="26"/>
      <c r="H5" s="26"/>
      <c r="I5" s="26"/>
      <c r="J5" s="26"/>
      <c r="K5" s="26"/>
      <c r="L5" s="26"/>
      <c r="M5" s="26"/>
      <c r="N5" s="26"/>
      <c r="O5" s="26"/>
    </row>
    <row r="6" customFormat="false" ht="14.25" hidden="false" customHeight="true" outlineLevel="0" collapsed="false">
      <c r="A6" s="28" t="s">
        <v>66</v>
      </c>
      <c r="B6" s="28"/>
      <c r="C6" s="28"/>
      <c r="D6" s="28"/>
      <c r="E6" s="28"/>
      <c r="F6" s="28"/>
      <c r="G6" s="28"/>
      <c r="H6" s="28"/>
      <c r="I6" s="28"/>
      <c r="J6" s="28"/>
      <c r="K6" s="28"/>
      <c r="L6" s="28"/>
      <c r="M6" s="28"/>
      <c r="N6" s="28"/>
      <c r="O6" s="28"/>
    </row>
    <row r="7" customFormat="false" ht="14.25" hidden="false" customHeight="true" outlineLevel="0" collapsed="false">
      <c r="A7" s="28" t="s">
        <v>67</v>
      </c>
      <c r="B7" s="28"/>
      <c r="C7" s="28"/>
      <c r="D7" s="28"/>
      <c r="E7" s="28"/>
      <c r="F7" s="28"/>
      <c r="G7" s="28"/>
      <c r="H7" s="28"/>
      <c r="I7" s="28"/>
      <c r="J7" s="28"/>
      <c r="K7" s="28"/>
      <c r="L7" s="28"/>
      <c r="M7" s="28"/>
      <c r="N7" s="28"/>
      <c r="O7" s="28"/>
    </row>
    <row r="8" customFormat="false" ht="14.25" hidden="false" customHeight="true" outlineLevel="0" collapsed="false">
      <c r="A8" s="26" t="s">
        <v>68</v>
      </c>
      <c r="B8" s="26"/>
      <c r="C8" s="26"/>
      <c r="D8" s="26"/>
      <c r="E8" s="26"/>
      <c r="F8" s="26"/>
      <c r="G8" s="26"/>
      <c r="H8" s="26"/>
      <c r="I8" s="26"/>
      <c r="J8" s="26"/>
      <c r="K8" s="26"/>
      <c r="L8" s="26"/>
      <c r="M8" s="26"/>
      <c r="N8" s="26"/>
      <c r="O8" s="26"/>
    </row>
    <row r="9" customFormat="false" ht="14.25" hidden="false" customHeight="true" outlineLevel="0" collapsed="false">
      <c r="A9" s="26" t="s">
        <v>69</v>
      </c>
      <c r="B9" s="26"/>
      <c r="C9" s="26"/>
      <c r="D9" s="26"/>
      <c r="E9" s="26"/>
      <c r="F9" s="26"/>
      <c r="G9" s="26"/>
      <c r="H9" s="26"/>
      <c r="I9" s="26"/>
      <c r="J9" s="26"/>
      <c r="K9" s="26"/>
      <c r="L9" s="26"/>
      <c r="M9" s="26"/>
      <c r="N9" s="26"/>
      <c r="O9" s="26"/>
    </row>
    <row r="10" customFormat="false" ht="14.25" hidden="false" customHeight="true" outlineLevel="0" collapsed="false">
      <c r="A10" s="26" t="s">
        <v>70</v>
      </c>
      <c r="B10" s="26"/>
      <c r="C10" s="26"/>
      <c r="D10" s="26"/>
      <c r="E10" s="26"/>
      <c r="F10" s="26"/>
      <c r="G10" s="26"/>
      <c r="H10" s="26"/>
      <c r="I10" s="26"/>
      <c r="J10" s="26"/>
      <c r="K10" s="26"/>
      <c r="L10" s="26"/>
      <c r="M10" s="26"/>
      <c r="N10" s="26"/>
      <c r="O10" s="26"/>
    </row>
    <row r="11" customFormat="false" ht="14.25" hidden="false" customHeight="true" outlineLevel="0" collapsed="false">
      <c r="A11" s="29"/>
      <c r="B11" s="28" t="s">
        <v>71</v>
      </c>
      <c r="C11" s="28"/>
      <c r="D11" s="28"/>
      <c r="E11" s="28"/>
      <c r="F11" s="28"/>
      <c r="G11" s="28"/>
      <c r="H11" s="28"/>
      <c r="I11" s="28"/>
      <c r="J11" s="28"/>
      <c r="K11" s="28"/>
      <c r="L11" s="28"/>
      <c r="M11" s="28"/>
      <c r="N11" s="28"/>
      <c r="O11" s="28"/>
    </row>
    <row r="12" customFormat="false" ht="14.25" hidden="false" customHeight="true" outlineLevel="0" collapsed="false">
      <c r="A12" s="29"/>
      <c r="B12" s="26" t="s">
        <v>72</v>
      </c>
      <c r="C12" s="26"/>
      <c r="D12" s="26"/>
      <c r="E12" s="26"/>
      <c r="F12" s="26"/>
      <c r="G12" s="26"/>
      <c r="H12" s="26"/>
      <c r="I12" s="26"/>
      <c r="J12" s="26"/>
      <c r="K12" s="26"/>
      <c r="L12" s="26"/>
      <c r="M12" s="26"/>
      <c r="N12" s="26"/>
      <c r="O12" s="26"/>
    </row>
    <row r="13" customFormat="false" ht="14.25" hidden="false" customHeight="true" outlineLevel="0" collapsed="false">
      <c r="A13" s="29"/>
      <c r="B13" s="26" t="s">
        <v>73</v>
      </c>
      <c r="C13" s="26"/>
      <c r="D13" s="26"/>
      <c r="E13" s="26"/>
      <c r="F13" s="26"/>
      <c r="G13" s="26"/>
      <c r="H13" s="26"/>
      <c r="I13" s="26"/>
      <c r="J13" s="26"/>
      <c r="K13" s="26"/>
      <c r="L13" s="26"/>
      <c r="M13" s="26"/>
      <c r="N13" s="26"/>
      <c r="O13" s="26"/>
    </row>
    <row r="14" customFormat="false" ht="14.25" hidden="false" customHeight="true" outlineLevel="0" collapsed="false">
      <c r="A14" s="29"/>
      <c r="B14" s="26" t="s">
        <v>74</v>
      </c>
      <c r="C14" s="26"/>
      <c r="D14" s="26"/>
      <c r="E14" s="26"/>
      <c r="F14" s="26"/>
      <c r="G14" s="26"/>
      <c r="H14" s="26"/>
      <c r="I14" s="26"/>
      <c r="J14" s="26"/>
      <c r="K14" s="26"/>
      <c r="L14" s="26"/>
      <c r="M14" s="26"/>
      <c r="N14" s="26"/>
      <c r="O14" s="26"/>
    </row>
    <row r="15" customFormat="false" ht="14.25" hidden="false" customHeight="true" outlineLevel="0" collapsed="false">
      <c r="A15" s="29"/>
      <c r="B15" s="26" t="s">
        <v>75</v>
      </c>
      <c r="C15" s="26"/>
      <c r="D15" s="26"/>
      <c r="E15" s="26"/>
      <c r="F15" s="26"/>
      <c r="G15" s="26"/>
      <c r="H15" s="26"/>
      <c r="I15" s="26"/>
      <c r="J15" s="26"/>
      <c r="K15" s="26"/>
      <c r="L15" s="26"/>
      <c r="M15" s="26"/>
      <c r="N15" s="26"/>
      <c r="O15" s="26"/>
    </row>
    <row r="16" customFormat="false" ht="14.25" hidden="false" customHeight="true" outlineLevel="0" collapsed="false">
      <c r="A16" s="29"/>
      <c r="B16" s="26" t="s">
        <v>76</v>
      </c>
      <c r="C16" s="26"/>
      <c r="D16" s="26"/>
      <c r="E16" s="26"/>
      <c r="F16" s="26"/>
      <c r="G16" s="26"/>
      <c r="H16" s="26"/>
      <c r="I16" s="26"/>
      <c r="J16" s="26"/>
      <c r="K16" s="26"/>
      <c r="L16" s="26"/>
      <c r="M16" s="26"/>
      <c r="N16" s="26"/>
      <c r="O16" s="26"/>
    </row>
    <row r="17" customFormat="false" ht="14.25" hidden="false" customHeight="true" outlineLevel="0" collapsed="false">
      <c r="A17" s="29"/>
      <c r="B17" s="26" t="s">
        <v>77</v>
      </c>
      <c r="C17" s="26"/>
      <c r="D17" s="26"/>
      <c r="E17" s="26"/>
      <c r="F17" s="26"/>
      <c r="G17" s="26"/>
      <c r="H17" s="26"/>
      <c r="I17" s="26"/>
      <c r="J17" s="26"/>
      <c r="K17" s="26"/>
      <c r="L17" s="26"/>
      <c r="M17" s="26"/>
      <c r="N17" s="26"/>
      <c r="O17" s="26"/>
    </row>
    <row r="18" customFormat="false" ht="14.25" hidden="false" customHeight="true" outlineLevel="0" collapsed="false">
      <c r="B18" s="28" t="s">
        <v>78</v>
      </c>
      <c r="C18" s="28"/>
      <c r="D18" s="28"/>
      <c r="E18" s="28"/>
      <c r="F18" s="28"/>
      <c r="G18" s="28"/>
      <c r="H18" s="28"/>
      <c r="I18" s="28"/>
      <c r="J18" s="28"/>
      <c r="K18" s="28"/>
      <c r="L18" s="28"/>
      <c r="M18" s="28"/>
      <c r="N18" s="28"/>
      <c r="O18" s="28"/>
    </row>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
    <mergeCell ref="A1:O1"/>
    <mergeCell ref="A2:O2"/>
    <mergeCell ref="A3:O3"/>
    <mergeCell ref="A4:O4"/>
    <mergeCell ref="A5:O5"/>
    <mergeCell ref="A6:O6"/>
    <mergeCell ref="A7:O7"/>
    <mergeCell ref="A8:O8"/>
    <mergeCell ref="A9:O9"/>
    <mergeCell ref="A10:O10"/>
    <mergeCell ref="B11:O11"/>
    <mergeCell ref="B12:O12"/>
    <mergeCell ref="B13:O13"/>
    <mergeCell ref="B14:O14"/>
    <mergeCell ref="B15:O15"/>
    <mergeCell ref="B16:O16"/>
    <mergeCell ref="B17:O17"/>
    <mergeCell ref="B18:O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00"/>
  <sheetViews>
    <sheetView showFormulas="false" showGridLines="true" showRowColHeaders="true" showZeros="true" rightToLeft="false" tabSelected="true" showOutlineSymbols="true" defaultGridColor="true" view="normal" topLeftCell="B19" colorId="64" zoomScale="60" zoomScaleNormal="60" zoomScalePageLayoutView="100" workbookViewId="0">
      <selection pane="topLeft" activeCell="M30" activeCellId="0" sqref="M30"/>
    </sheetView>
  </sheetViews>
  <sheetFormatPr defaultColWidth="14.43359375" defaultRowHeight="15" customHeight="true" zeroHeight="false" outlineLevelRow="0" outlineLevelCol="0"/>
  <cols>
    <col collapsed="false" customWidth="true" hidden="false" outlineLevel="0" max="1" min="1" style="0" width="37.15"/>
    <col collapsed="false" customWidth="true" hidden="false" outlineLevel="0" max="2" min="2" style="0" width="16.57"/>
    <col collapsed="false" customWidth="true" hidden="false" outlineLevel="0" max="3" min="3" style="0" width="35.71"/>
    <col collapsed="false" customWidth="true" hidden="false" outlineLevel="0" max="4" min="4" style="0" width="20.71"/>
    <col collapsed="false" customWidth="true" hidden="false" outlineLevel="0" max="5" min="5" style="0" width="19.14"/>
    <col collapsed="false" customWidth="true" hidden="false" outlineLevel="0" max="6" min="6" style="0" width="26.57"/>
    <col collapsed="false" customWidth="true" hidden="false" outlineLevel="0" max="9" min="7" style="0" width="18.71"/>
    <col collapsed="false" customWidth="true" hidden="false" outlineLevel="0" max="10" min="10" style="0" width="23.57"/>
    <col collapsed="false" customWidth="true" hidden="false" outlineLevel="0" max="24" min="11" style="0" width="18.71"/>
  </cols>
  <sheetData>
    <row r="1" customFormat="false" ht="13.5" hidden="false" customHeight="true" outlineLevel="0" collapsed="false">
      <c r="A1" s="30"/>
      <c r="B1" s="30"/>
      <c r="C1" s="30"/>
      <c r="D1" s="30"/>
      <c r="E1" s="30"/>
      <c r="F1" s="31"/>
      <c r="G1" s="32" t="s">
        <v>79</v>
      </c>
      <c r="H1" s="32"/>
      <c r="I1" s="32"/>
      <c r="J1" s="31"/>
      <c r="K1" s="31"/>
      <c r="L1" s="33"/>
      <c r="M1" s="33"/>
      <c r="N1" s="33"/>
      <c r="O1" s="30"/>
      <c r="P1" s="30"/>
      <c r="Q1" s="30"/>
      <c r="R1" s="30"/>
      <c r="S1" s="30"/>
      <c r="T1" s="30"/>
      <c r="U1" s="30"/>
      <c r="V1" s="30"/>
      <c r="W1" s="30"/>
      <c r="X1" s="30"/>
    </row>
    <row r="2" customFormat="false" ht="54.75" hidden="false" customHeight="true" outlineLevel="0" collapsed="false">
      <c r="A2" s="30"/>
      <c r="B2" s="30"/>
      <c r="C2" s="34"/>
      <c r="D2" s="34"/>
      <c r="E2" s="34"/>
      <c r="F2" s="35" t="s">
        <v>80</v>
      </c>
      <c r="G2" s="35"/>
      <c r="H2" s="35"/>
      <c r="I2" s="35"/>
      <c r="J2" s="35"/>
      <c r="K2" s="34"/>
      <c r="L2" s="33"/>
      <c r="M2" s="33"/>
      <c r="N2" s="33"/>
      <c r="O2" s="30"/>
      <c r="P2" s="30"/>
      <c r="Q2" s="30"/>
      <c r="R2" s="30"/>
      <c r="S2" s="30"/>
      <c r="T2" s="30"/>
      <c r="U2" s="30"/>
      <c r="V2" s="30"/>
      <c r="W2" s="30"/>
      <c r="X2" s="30"/>
    </row>
    <row r="3" customFormat="false" ht="23.25" hidden="false" customHeight="true" outlineLevel="0" collapsed="false">
      <c r="A3" s="36"/>
      <c r="B3" s="36"/>
      <c r="C3" s="36"/>
      <c r="D3" s="36"/>
      <c r="E3" s="30"/>
      <c r="F3" s="30"/>
      <c r="G3" s="37"/>
      <c r="H3" s="37"/>
      <c r="I3" s="37"/>
      <c r="J3" s="37"/>
      <c r="K3" s="30"/>
      <c r="L3" s="30"/>
      <c r="M3" s="30"/>
      <c r="N3" s="30"/>
      <c r="O3" s="30"/>
      <c r="P3" s="30"/>
      <c r="Q3" s="30"/>
      <c r="R3" s="30"/>
      <c r="S3" s="30"/>
      <c r="T3" s="30"/>
      <c r="U3" s="30"/>
      <c r="V3" s="30"/>
      <c r="W3" s="30"/>
      <c r="X3" s="30"/>
    </row>
    <row r="4" customFormat="false" ht="16.5" hidden="false" customHeight="true" outlineLevel="0" collapsed="false">
      <c r="A4" s="36"/>
      <c r="B4" s="36"/>
      <c r="C4" s="36"/>
      <c r="D4" s="36"/>
      <c r="E4" s="30"/>
      <c r="F4" s="38" t="s">
        <v>81</v>
      </c>
      <c r="G4" s="38"/>
      <c r="H4" s="38"/>
      <c r="I4" s="38"/>
      <c r="J4" s="38"/>
      <c r="K4" s="38"/>
      <c r="L4" s="30"/>
      <c r="M4" s="30"/>
      <c r="N4" s="30"/>
      <c r="O4" s="39"/>
      <c r="P4" s="30"/>
      <c r="Q4" s="30"/>
      <c r="R4" s="30"/>
      <c r="S4" s="39"/>
      <c r="T4" s="30"/>
      <c r="U4" s="30"/>
      <c r="V4" s="30"/>
      <c r="W4" s="30"/>
      <c r="X4" s="30"/>
    </row>
    <row r="5" customFormat="false" ht="21" hidden="false" customHeight="true" outlineLevel="0" collapsed="false">
      <c r="A5" s="36"/>
      <c r="B5" s="36"/>
      <c r="C5" s="36"/>
      <c r="D5" s="36"/>
      <c r="E5" s="30"/>
      <c r="F5" s="38"/>
      <c r="G5" s="38"/>
      <c r="H5" s="38"/>
      <c r="I5" s="38"/>
      <c r="J5" s="38"/>
      <c r="K5" s="38"/>
      <c r="L5" s="30"/>
      <c r="M5" s="40"/>
      <c r="N5" s="41"/>
      <c r="O5" s="41"/>
      <c r="P5" s="42"/>
      <c r="Q5" s="40"/>
      <c r="R5" s="41"/>
      <c r="S5" s="41"/>
      <c r="T5" s="42"/>
      <c r="U5" s="30"/>
      <c r="V5" s="30"/>
      <c r="W5" s="30"/>
      <c r="X5" s="30"/>
    </row>
    <row r="6" customFormat="false" ht="21" hidden="false" customHeight="true" outlineLevel="0" collapsed="false">
      <c r="A6" s="36"/>
      <c r="B6" s="36"/>
      <c r="C6" s="36"/>
      <c r="D6" s="36"/>
      <c r="E6" s="30"/>
      <c r="F6" s="38"/>
      <c r="G6" s="38"/>
      <c r="H6" s="38"/>
      <c r="I6" s="38"/>
      <c r="J6" s="38"/>
      <c r="K6" s="38"/>
      <c r="L6" s="30"/>
      <c r="M6" s="40"/>
      <c r="N6" s="41"/>
      <c r="O6" s="41"/>
      <c r="P6" s="42"/>
      <c r="Q6" s="40"/>
      <c r="R6" s="41"/>
      <c r="S6" s="41"/>
      <c r="T6" s="42"/>
      <c r="U6" s="30"/>
      <c r="V6" s="30"/>
      <c r="W6" s="30"/>
      <c r="X6" s="30"/>
    </row>
    <row r="7" customFormat="false" ht="21" hidden="false" customHeight="true" outlineLevel="0" collapsed="false">
      <c r="A7" s="36"/>
      <c r="B7" s="36"/>
      <c r="C7" s="36"/>
      <c r="D7" s="36"/>
      <c r="E7" s="30"/>
      <c r="F7" s="38"/>
      <c r="G7" s="38"/>
      <c r="H7" s="38"/>
      <c r="I7" s="38"/>
      <c r="J7" s="38"/>
      <c r="K7" s="38"/>
      <c r="L7" s="30"/>
      <c r="M7" s="40"/>
      <c r="N7" s="41"/>
      <c r="O7" s="41"/>
      <c r="P7" s="42"/>
      <c r="Q7" s="40"/>
      <c r="R7" s="41"/>
      <c r="S7" s="41"/>
      <c r="T7" s="42"/>
      <c r="U7" s="30"/>
      <c r="V7" s="30"/>
      <c r="W7" s="30"/>
      <c r="X7" s="30"/>
    </row>
    <row r="8" customFormat="false" ht="21" hidden="false" customHeight="true" outlineLevel="0" collapsed="false">
      <c r="A8" s="36"/>
      <c r="B8" s="36"/>
      <c r="C8" s="36"/>
      <c r="D8" s="36"/>
      <c r="E8" s="30"/>
      <c r="F8" s="38"/>
      <c r="G8" s="38"/>
      <c r="H8" s="38"/>
      <c r="I8" s="38"/>
      <c r="J8" s="38"/>
      <c r="K8" s="38"/>
      <c r="L8" s="30"/>
      <c r="M8" s="40"/>
      <c r="N8" s="41"/>
      <c r="O8" s="41"/>
      <c r="P8" s="42"/>
      <c r="Q8" s="40"/>
      <c r="R8" s="41"/>
      <c r="S8" s="41"/>
      <c r="T8" s="42"/>
      <c r="U8" s="30"/>
      <c r="V8" s="30"/>
      <c r="W8" s="30"/>
      <c r="X8" s="30"/>
    </row>
    <row r="9" customFormat="false" ht="21" hidden="false" customHeight="true" outlineLevel="0" collapsed="false">
      <c r="A9" s="36"/>
      <c r="B9" s="36"/>
      <c r="C9" s="36"/>
      <c r="D9" s="36"/>
      <c r="E9" s="30"/>
      <c r="F9" s="38"/>
      <c r="G9" s="38"/>
      <c r="H9" s="38"/>
      <c r="I9" s="38"/>
      <c r="J9" s="38"/>
      <c r="K9" s="38"/>
      <c r="L9" s="30"/>
      <c r="M9" s="30"/>
      <c r="N9" s="30"/>
      <c r="O9" s="30"/>
      <c r="P9" s="30"/>
      <c r="Q9" s="30"/>
      <c r="R9" s="30"/>
      <c r="S9" s="30"/>
      <c r="T9" s="30"/>
      <c r="U9" s="30"/>
      <c r="V9" s="30"/>
      <c r="W9" s="30"/>
      <c r="X9" s="30"/>
    </row>
    <row r="10" customFormat="false" ht="20.25" hidden="false" customHeight="true" outlineLevel="0" collapsed="false">
      <c r="A10" s="36"/>
      <c r="B10" s="36"/>
      <c r="C10" s="36"/>
      <c r="D10" s="36"/>
      <c r="E10" s="30"/>
      <c r="F10" s="38"/>
      <c r="G10" s="38"/>
      <c r="H10" s="38"/>
      <c r="I10" s="38"/>
      <c r="J10" s="38"/>
      <c r="K10" s="38"/>
      <c r="L10" s="30"/>
      <c r="M10" s="30"/>
      <c r="N10" s="30"/>
      <c r="O10" s="30"/>
      <c r="P10" s="30"/>
      <c r="Q10" s="30"/>
      <c r="R10" s="30"/>
      <c r="S10" s="30"/>
      <c r="T10" s="30"/>
      <c r="U10" s="30"/>
      <c r="V10" s="30"/>
      <c r="W10" s="30"/>
      <c r="X10" s="30"/>
    </row>
    <row r="11" customFormat="false" ht="21" hidden="false" customHeight="true" outlineLevel="0" collapsed="false">
      <c r="A11" s="36"/>
      <c r="B11" s="36"/>
      <c r="C11" s="36"/>
      <c r="D11" s="36"/>
      <c r="E11" s="30"/>
      <c r="F11" s="38"/>
      <c r="G11" s="38"/>
      <c r="H11" s="38"/>
      <c r="I11" s="38"/>
      <c r="J11" s="38"/>
      <c r="K11" s="38"/>
      <c r="L11" s="30"/>
      <c r="M11" s="30"/>
      <c r="N11" s="30"/>
      <c r="O11" s="30"/>
      <c r="P11" s="30"/>
      <c r="Q11" s="30"/>
      <c r="R11" s="30"/>
      <c r="S11" s="30"/>
      <c r="T11" s="30"/>
      <c r="U11" s="30"/>
      <c r="V11" s="30"/>
      <c r="W11" s="30"/>
      <c r="X11" s="30"/>
    </row>
    <row r="12" customFormat="false" ht="21" hidden="false" customHeight="true" outlineLevel="0" collapsed="false">
      <c r="A12" s="36"/>
      <c r="B12" s="36"/>
      <c r="C12" s="36"/>
      <c r="D12" s="36"/>
      <c r="E12" s="30"/>
      <c r="F12" s="38"/>
      <c r="G12" s="38"/>
      <c r="H12" s="38"/>
      <c r="I12" s="38"/>
      <c r="J12" s="38"/>
      <c r="K12" s="38"/>
      <c r="L12" s="30"/>
      <c r="M12" s="30"/>
      <c r="N12" s="30"/>
      <c r="O12" s="30"/>
      <c r="P12" s="30"/>
      <c r="Q12" s="30"/>
      <c r="R12" s="30"/>
      <c r="S12" s="30"/>
      <c r="T12" s="30"/>
      <c r="U12" s="30"/>
      <c r="V12" s="30"/>
      <c r="W12" s="30"/>
      <c r="X12" s="30"/>
    </row>
    <row r="13" customFormat="false" ht="21" hidden="false" customHeight="true" outlineLevel="0" collapsed="false">
      <c r="A13" s="36"/>
      <c r="B13" s="36"/>
      <c r="C13" s="36"/>
      <c r="D13" s="36"/>
      <c r="E13" s="30"/>
      <c r="F13" s="38"/>
      <c r="G13" s="38"/>
      <c r="H13" s="38"/>
      <c r="I13" s="38"/>
      <c r="J13" s="38"/>
      <c r="K13" s="38"/>
      <c r="L13" s="30"/>
      <c r="M13" s="30"/>
      <c r="N13" s="30"/>
      <c r="O13" s="30"/>
      <c r="P13" s="30"/>
      <c r="Q13" s="30"/>
      <c r="R13" s="30"/>
      <c r="S13" s="30"/>
      <c r="T13" s="30"/>
      <c r="U13" s="30"/>
      <c r="V13" s="30"/>
      <c r="W13" s="30"/>
      <c r="X13" s="30"/>
    </row>
    <row r="14" customFormat="false" ht="21" hidden="false" customHeight="true" outlineLevel="0" collapsed="false">
      <c r="A14" s="30"/>
      <c r="B14" s="37"/>
      <c r="C14" s="40"/>
      <c r="D14" s="39"/>
      <c r="E14" s="30"/>
      <c r="F14" s="38"/>
      <c r="G14" s="38"/>
      <c r="H14" s="38"/>
      <c r="I14" s="38"/>
      <c r="J14" s="38"/>
      <c r="K14" s="38"/>
      <c r="L14" s="30"/>
      <c r="M14" s="30"/>
      <c r="N14" s="30"/>
      <c r="O14" s="30"/>
      <c r="P14" s="30"/>
      <c r="Q14" s="30"/>
      <c r="R14" s="30"/>
      <c r="S14" s="30"/>
      <c r="T14" s="30"/>
      <c r="U14" s="30"/>
      <c r="V14" s="30"/>
      <c r="W14" s="30"/>
      <c r="X14" s="30"/>
    </row>
    <row r="15" customFormat="false" ht="21" hidden="false" customHeight="true" outlineLevel="0" collapsed="false">
      <c r="A15" s="43"/>
      <c r="B15" s="37"/>
      <c r="C15" s="40"/>
      <c r="D15" s="39"/>
      <c r="E15" s="30"/>
      <c r="F15" s="38"/>
      <c r="G15" s="38"/>
      <c r="H15" s="38"/>
      <c r="I15" s="38"/>
      <c r="J15" s="38"/>
      <c r="K15" s="38"/>
      <c r="L15" s="30"/>
      <c r="M15" s="30"/>
      <c r="N15" s="30"/>
      <c r="O15" s="30"/>
      <c r="P15" s="30"/>
      <c r="Q15" s="30"/>
      <c r="R15" s="30"/>
      <c r="S15" s="30"/>
      <c r="T15" s="30"/>
      <c r="U15" s="30"/>
      <c r="V15" s="30"/>
      <c r="W15" s="30"/>
      <c r="X15" s="30"/>
    </row>
    <row r="16" customFormat="false" ht="21" hidden="false" customHeight="true" outlineLevel="0" collapsed="false">
      <c r="A16" s="30"/>
      <c r="B16" s="30"/>
      <c r="C16" s="44"/>
      <c r="D16" s="45"/>
      <c r="E16" s="40"/>
      <c r="F16" s="39"/>
      <c r="G16" s="36"/>
      <c r="H16" s="36"/>
      <c r="I16" s="36"/>
      <c r="J16" s="36"/>
      <c r="K16" s="36"/>
      <c r="L16" s="30"/>
      <c r="M16" s="30"/>
      <c r="N16" s="30"/>
      <c r="O16" s="30"/>
      <c r="P16" s="30"/>
      <c r="Q16" s="30"/>
      <c r="R16" s="30"/>
      <c r="S16" s="30"/>
      <c r="T16" s="30"/>
      <c r="U16" s="30"/>
      <c r="V16" s="30"/>
      <c r="W16" s="30"/>
      <c r="X16" s="30"/>
    </row>
    <row r="17" customFormat="false" ht="21" hidden="false" customHeight="true" outlineLevel="0" collapsed="false">
      <c r="A17" s="30"/>
      <c r="B17" s="30"/>
      <c r="C17" s="44"/>
      <c r="D17" s="45"/>
      <c r="E17" s="40"/>
      <c r="F17" s="39"/>
      <c r="G17" s="36"/>
      <c r="H17" s="36"/>
      <c r="I17" s="36"/>
      <c r="J17" s="36"/>
      <c r="K17" s="36"/>
      <c r="L17" s="30"/>
      <c r="M17" s="30"/>
      <c r="N17" s="30"/>
      <c r="O17" s="30"/>
      <c r="P17" s="30"/>
      <c r="Q17" s="30"/>
      <c r="R17" s="30"/>
      <c r="S17" s="30"/>
      <c r="T17" s="30"/>
      <c r="U17" s="30"/>
      <c r="V17" s="30"/>
      <c r="W17" s="30"/>
      <c r="X17" s="30"/>
    </row>
    <row r="18" customFormat="false" ht="36" hidden="false" customHeight="true" outlineLevel="0" collapsed="false">
      <c r="A18" s="46" t="s">
        <v>82</v>
      </c>
      <c r="B18" s="46"/>
      <c r="C18" s="46"/>
      <c r="D18" s="46"/>
      <c r="E18" s="46" t="n">
        <v>30</v>
      </c>
      <c r="F18" s="39"/>
      <c r="G18" s="36"/>
      <c r="H18" s="36"/>
      <c r="I18" s="36"/>
      <c r="J18" s="36"/>
      <c r="K18" s="36"/>
      <c r="L18" s="30"/>
      <c r="M18" s="30"/>
      <c r="N18" s="30"/>
      <c r="O18" s="30"/>
      <c r="P18" s="30"/>
      <c r="Q18" s="30"/>
      <c r="R18" s="30"/>
      <c r="S18" s="30"/>
      <c r="T18" s="30"/>
      <c r="U18" s="30"/>
      <c r="V18" s="30"/>
      <c r="W18" s="30"/>
      <c r="X18" s="30"/>
    </row>
    <row r="19" customFormat="false" ht="44.25" hidden="false" customHeight="true" outlineLevel="0" collapsed="false">
      <c r="A19" s="30"/>
      <c r="B19" s="30"/>
      <c r="C19" s="30"/>
      <c r="D19" s="47" t="s">
        <v>83</v>
      </c>
      <c r="E19" s="48" t="n">
        <f aca="false">RADIANS(E18)</f>
        <v>0.5235987756</v>
      </c>
      <c r="F19" s="39"/>
      <c r="G19" s="36"/>
      <c r="H19" s="36"/>
      <c r="I19" s="36"/>
      <c r="J19" s="36"/>
      <c r="K19" s="36"/>
      <c r="M19" s="30"/>
      <c r="N19" s="30"/>
      <c r="O19" s="30"/>
      <c r="P19" s="30"/>
      <c r="Q19" s="30"/>
      <c r="R19" s="30"/>
      <c r="S19" s="30"/>
      <c r="T19" s="30"/>
      <c r="U19" s="30"/>
      <c r="V19" s="30"/>
      <c r="W19" s="30"/>
      <c r="X19" s="30"/>
    </row>
    <row r="20" customFormat="false" ht="21" hidden="false" customHeight="true" outlineLevel="0" collapsed="false">
      <c r="A20" s="30"/>
      <c r="B20" s="30"/>
      <c r="C20" s="44"/>
      <c r="D20" s="45"/>
      <c r="E20" s="40"/>
      <c r="F20" s="39"/>
      <c r="G20" s="36"/>
      <c r="H20" s="36"/>
      <c r="I20" s="36"/>
      <c r="J20" s="36"/>
      <c r="K20" s="36"/>
      <c r="M20" s="30"/>
      <c r="N20" s="30"/>
      <c r="O20" s="30"/>
      <c r="P20" s="30"/>
      <c r="Q20" s="30"/>
      <c r="R20" s="30"/>
      <c r="S20" s="30"/>
      <c r="T20" s="30"/>
      <c r="U20" s="30"/>
      <c r="V20" s="30"/>
      <c r="W20" s="30"/>
      <c r="X20" s="30"/>
    </row>
    <row r="21" customFormat="false" ht="21" hidden="false" customHeight="true" outlineLevel="0" collapsed="false">
      <c r="A21" s="30"/>
      <c r="B21" s="30"/>
      <c r="C21" s="49" t="s">
        <v>84</v>
      </c>
      <c r="D21" s="49"/>
      <c r="E21" s="49"/>
      <c r="F21" s="49"/>
      <c r="G21" s="49"/>
      <c r="H21" s="49"/>
      <c r="I21" s="49"/>
      <c r="J21" s="49"/>
      <c r="K21" s="49"/>
      <c r="M21" s="30"/>
      <c r="N21" s="30"/>
      <c r="O21" s="30"/>
      <c r="P21" s="30"/>
      <c r="Q21" s="30"/>
      <c r="R21" s="30"/>
      <c r="S21" s="30"/>
      <c r="T21" s="30"/>
      <c r="U21" s="30"/>
      <c r="V21" s="30"/>
      <c r="W21" s="30"/>
      <c r="X21" s="30"/>
    </row>
    <row r="22" customFormat="false" ht="21" hidden="false" customHeight="true" outlineLevel="0" collapsed="false">
      <c r="A22" s="30"/>
      <c r="B22" s="30"/>
      <c r="C22" s="49"/>
      <c r="D22" s="49"/>
      <c r="E22" s="49"/>
      <c r="F22" s="49"/>
      <c r="G22" s="49"/>
      <c r="H22" s="49"/>
      <c r="I22" s="49"/>
      <c r="J22" s="49"/>
      <c r="K22" s="49"/>
      <c r="M22" s="30"/>
      <c r="N22" s="30"/>
      <c r="O22" s="30"/>
      <c r="P22" s="30"/>
      <c r="Q22" s="30"/>
      <c r="R22" s="30"/>
      <c r="S22" s="30"/>
      <c r="T22" s="30"/>
      <c r="U22" s="30"/>
      <c r="V22" s="30"/>
      <c r="W22" s="30"/>
      <c r="X22" s="30"/>
    </row>
    <row r="23" customFormat="false" ht="21" hidden="false" customHeight="true" outlineLevel="0" collapsed="false">
      <c r="A23" s="30"/>
      <c r="B23" s="30"/>
      <c r="C23" s="30"/>
      <c r="D23" s="42"/>
      <c r="E23" s="42"/>
      <c r="F23" s="39"/>
      <c r="G23" s="36"/>
      <c r="H23" s="36"/>
      <c r="I23" s="36"/>
      <c r="J23" s="36"/>
      <c r="K23" s="36"/>
      <c r="M23" s="30"/>
      <c r="N23" s="30"/>
      <c r="O23" s="30"/>
      <c r="P23" s="30"/>
      <c r="Q23" s="30"/>
      <c r="R23" s="30"/>
      <c r="S23" s="30"/>
      <c r="T23" s="30"/>
      <c r="U23" s="30"/>
      <c r="V23" s="30"/>
      <c r="W23" s="30"/>
      <c r="X23" s="30"/>
    </row>
    <row r="24" customFormat="false" ht="21" hidden="false" customHeight="true" outlineLevel="0" collapsed="false">
      <c r="A24" s="30" t="s">
        <v>85</v>
      </c>
      <c r="B24" s="30"/>
      <c r="C24" s="30"/>
      <c r="D24" s="42"/>
      <c r="E24" s="42"/>
      <c r="F24" s="39"/>
      <c r="G24" s="36"/>
      <c r="H24" s="36"/>
      <c r="I24" s="36"/>
      <c r="J24" s="36"/>
      <c r="K24" s="36"/>
      <c r="M24" s="30"/>
      <c r="N24" s="30"/>
      <c r="O24" s="30"/>
      <c r="P24" s="30"/>
      <c r="Q24" s="30"/>
      <c r="R24" s="30"/>
      <c r="S24" s="30"/>
      <c r="T24" s="30"/>
      <c r="U24" s="30"/>
      <c r="V24" s="30"/>
      <c r="W24" s="30"/>
      <c r="X24" s="30"/>
    </row>
    <row r="25" customFormat="false" ht="21" hidden="false" customHeight="true" outlineLevel="0" collapsed="false">
      <c r="A25" s="30"/>
      <c r="B25" s="30"/>
      <c r="C25" s="50" t="s">
        <v>86</v>
      </c>
      <c r="D25" s="50"/>
      <c r="E25" s="36"/>
      <c r="F25" s="50" t="s">
        <v>87</v>
      </c>
      <c r="G25" s="50"/>
      <c r="H25" s="36"/>
      <c r="I25" s="51" t="s">
        <v>88</v>
      </c>
      <c r="J25" s="51"/>
      <c r="K25" s="36"/>
      <c r="L25" s="50" t="s">
        <v>89</v>
      </c>
      <c r="M25" s="50"/>
      <c r="O25" s="51" t="s">
        <v>90</v>
      </c>
      <c r="P25" s="51"/>
      <c r="R25" s="30"/>
      <c r="S25" s="30"/>
      <c r="T25" s="30"/>
      <c r="U25" s="30"/>
      <c r="V25" s="30"/>
      <c r="W25" s="30"/>
      <c r="X25" s="30"/>
    </row>
    <row r="26" customFormat="false" ht="21" hidden="false" customHeight="true" outlineLevel="0" collapsed="false">
      <c r="A26" s="52"/>
      <c r="B26" s="53" t="s">
        <v>91</v>
      </c>
      <c r="C26" s="54" t="s">
        <v>92</v>
      </c>
      <c r="D26" s="55" t="n">
        <v>0</v>
      </c>
      <c r="E26" s="52"/>
      <c r="F26" s="56" t="s">
        <v>92</v>
      </c>
      <c r="G26" s="55"/>
      <c r="H26" s="52"/>
      <c r="I26" s="57" t="s">
        <v>93</v>
      </c>
      <c r="J26" s="58"/>
      <c r="K26" s="52"/>
      <c r="L26" s="56" t="s">
        <v>92</v>
      </c>
      <c r="M26" s="55"/>
      <c r="O26" s="57" t="s">
        <v>94</v>
      </c>
      <c r="P26" s="58" t="n">
        <v>0</v>
      </c>
      <c r="R26" s="52"/>
      <c r="S26" s="52"/>
      <c r="T26" s="52"/>
      <c r="U26" s="52"/>
      <c r="V26" s="52"/>
      <c r="W26" s="52"/>
      <c r="X26" s="52"/>
    </row>
    <row r="27" customFormat="false" ht="21" hidden="false" customHeight="true" outlineLevel="0" collapsed="false">
      <c r="A27" s="30"/>
      <c r="B27" s="59"/>
      <c r="C27" s="60"/>
      <c r="D27" s="61" t="s">
        <v>95</v>
      </c>
      <c r="E27" s="30"/>
      <c r="F27" s="60"/>
      <c r="G27" s="61" t="s">
        <v>95</v>
      </c>
      <c r="H27" s="36"/>
      <c r="I27" s="62"/>
      <c r="J27" s="63" t="s">
        <v>95</v>
      </c>
      <c r="K27" s="36"/>
      <c r="L27" s="60"/>
      <c r="M27" s="61" t="s">
        <v>95</v>
      </c>
      <c r="O27" s="62"/>
      <c r="P27" s="63" t="s">
        <v>93</v>
      </c>
      <c r="R27" s="30"/>
      <c r="S27" s="30"/>
      <c r="T27" s="30"/>
      <c r="U27" s="30"/>
      <c r="V27" s="30"/>
      <c r="W27" s="30"/>
      <c r="X27" s="30"/>
    </row>
    <row r="28" customFormat="false" ht="21" hidden="false" customHeight="true" outlineLevel="0" collapsed="false">
      <c r="A28" s="64" t="s">
        <v>96</v>
      </c>
      <c r="B28" s="65"/>
      <c r="C28" s="30"/>
      <c r="D28" s="66" t="n">
        <v>0.91</v>
      </c>
      <c r="E28" s="30"/>
      <c r="F28" s="30"/>
      <c r="G28" s="66" t="n">
        <v>0.94</v>
      </c>
      <c r="H28" s="36"/>
      <c r="I28" s="67"/>
      <c r="J28" s="68"/>
      <c r="K28" s="30"/>
      <c r="L28" s="30"/>
      <c r="M28" s="66" t="n">
        <v>0.91</v>
      </c>
      <c r="O28" s="67"/>
      <c r="P28" s="68"/>
      <c r="R28" s="30"/>
      <c r="S28" s="30"/>
      <c r="T28" s="30"/>
      <c r="U28" s="30"/>
      <c r="V28" s="30"/>
      <c r="W28" s="30"/>
      <c r="X28" s="30"/>
    </row>
    <row r="29" customFormat="false" ht="21" hidden="false" customHeight="true" outlineLevel="0" collapsed="false">
      <c r="A29" s="64" t="s">
        <v>97</v>
      </c>
      <c r="B29" s="69"/>
      <c r="C29" s="30"/>
      <c r="D29" s="66" t="n">
        <v>0.92</v>
      </c>
      <c r="E29" s="30"/>
      <c r="F29" s="30"/>
      <c r="G29" s="66" t="n">
        <v>0.94</v>
      </c>
      <c r="H29" s="36"/>
      <c r="I29" s="67"/>
      <c r="J29" s="68"/>
      <c r="K29" s="30"/>
      <c r="L29" s="30"/>
      <c r="M29" s="66" t="n">
        <v>0.92</v>
      </c>
      <c r="O29" s="67"/>
      <c r="P29" s="68"/>
      <c r="R29" s="30"/>
      <c r="S29" s="30"/>
      <c r="T29" s="30"/>
      <c r="U29" s="30"/>
      <c r="V29" s="30"/>
      <c r="W29" s="30"/>
      <c r="X29" s="30"/>
    </row>
    <row r="30" customFormat="false" ht="21" hidden="false" customHeight="true" outlineLevel="0" collapsed="false">
      <c r="A30" s="70" t="s">
        <v>98</v>
      </c>
      <c r="B30" s="71"/>
      <c r="C30" s="72" t="s">
        <v>99</v>
      </c>
      <c r="D30" s="73"/>
      <c r="E30" s="30"/>
      <c r="F30" s="74" t="s">
        <v>100</v>
      </c>
      <c r="G30" s="73"/>
      <c r="H30" s="30"/>
      <c r="I30" s="75" t="s">
        <v>100</v>
      </c>
      <c r="J30" s="76"/>
      <c r="K30" s="30"/>
      <c r="L30" s="74" t="s">
        <v>100</v>
      </c>
      <c r="M30" s="73"/>
      <c r="O30" s="75" t="s">
        <v>100</v>
      </c>
      <c r="P30" s="76"/>
      <c r="R30" s="30"/>
      <c r="S30" s="30"/>
      <c r="T30" s="30"/>
      <c r="U30" s="30"/>
      <c r="V30" s="30"/>
      <c r="W30" s="30"/>
      <c r="X30" s="30"/>
    </row>
    <row r="31" customFormat="false" ht="21" hidden="false" customHeight="true" outlineLevel="0" collapsed="false">
      <c r="A31" s="77" t="s">
        <v>101</v>
      </c>
      <c r="B31" s="78"/>
      <c r="C31" s="79" t="s">
        <v>102</v>
      </c>
      <c r="D31" s="80"/>
      <c r="E31" s="30"/>
      <c r="F31" s="81" t="s">
        <v>102</v>
      </c>
      <c r="G31" s="80"/>
      <c r="H31" s="30"/>
      <c r="I31" s="82" t="s">
        <v>102</v>
      </c>
      <c r="J31" s="83"/>
      <c r="K31" s="30"/>
      <c r="L31" s="81" t="s">
        <v>102</v>
      </c>
      <c r="M31" s="80"/>
      <c r="O31" s="82" t="s">
        <v>102</v>
      </c>
      <c r="P31" s="83"/>
      <c r="R31" s="30"/>
      <c r="S31" s="30"/>
      <c r="T31" s="30"/>
      <c r="U31" s="30"/>
      <c r="V31" s="30"/>
      <c r="W31" s="30"/>
      <c r="X31" s="30"/>
    </row>
    <row r="32" customFormat="false" ht="21" hidden="false" customHeight="true" outlineLevel="0" collapsed="false">
      <c r="A32" s="30"/>
      <c r="B32" s="30"/>
      <c r="C32" s="30"/>
      <c r="D32" s="30"/>
      <c r="E32" s="30"/>
      <c r="H32" s="84"/>
      <c r="K32" s="30"/>
      <c r="L32" s="30"/>
      <c r="M32" s="30"/>
      <c r="N32" s="30"/>
      <c r="O32" s="30"/>
      <c r="P32" s="30"/>
      <c r="Q32" s="30"/>
      <c r="R32" s="30"/>
      <c r="S32" s="30"/>
      <c r="T32" s="30"/>
      <c r="U32" s="30"/>
      <c r="V32" s="30"/>
      <c r="W32" s="30"/>
      <c r="X32" s="30"/>
    </row>
    <row r="33" customFormat="false" ht="21" hidden="false" customHeight="true" outlineLevel="0" collapsed="false">
      <c r="A33" s="30"/>
      <c r="B33" s="30"/>
      <c r="C33" s="30"/>
      <c r="D33" s="30"/>
      <c r="E33" s="30"/>
      <c r="F33" s="30"/>
      <c r="G33" s="30"/>
      <c r="H33" s="30" t="s">
        <v>103</v>
      </c>
      <c r="L33" s="30"/>
      <c r="M33" s="30"/>
      <c r="N33" s="30"/>
      <c r="O33" s="30"/>
      <c r="P33" s="30"/>
      <c r="Q33" s="30"/>
      <c r="R33" s="30"/>
      <c r="S33" s="30"/>
      <c r="T33" s="30"/>
      <c r="U33" s="30"/>
      <c r="V33" s="30"/>
      <c r="W33" s="30"/>
      <c r="X33" s="30"/>
    </row>
    <row r="34" customFormat="false" ht="21" hidden="false" customHeight="true" outlineLevel="0" collapsed="false">
      <c r="A34" s="30"/>
      <c r="B34" s="30"/>
      <c r="C34" s="30"/>
      <c r="D34" s="30"/>
      <c r="E34" s="30"/>
      <c r="F34" s="30"/>
      <c r="G34" s="30"/>
      <c r="L34" s="30"/>
      <c r="M34" s="30"/>
      <c r="N34" s="30"/>
      <c r="O34" s="30"/>
      <c r="P34" s="30"/>
      <c r="Q34" s="30"/>
      <c r="R34" s="30"/>
      <c r="S34" s="30"/>
      <c r="T34" s="30"/>
      <c r="U34" s="30"/>
      <c r="V34" s="30"/>
      <c r="W34" s="30"/>
      <c r="X34" s="30"/>
    </row>
    <row r="35" customFormat="false" ht="21" hidden="false" customHeight="true" outlineLevel="0" collapsed="false">
      <c r="A35" s="30"/>
      <c r="B35" s="30"/>
      <c r="C35" s="30"/>
      <c r="D35" s="30"/>
      <c r="E35" s="30"/>
      <c r="F35" s="30"/>
      <c r="G35" s="30"/>
      <c r="L35" s="30"/>
      <c r="M35" s="30"/>
      <c r="N35" s="30"/>
      <c r="O35" s="30"/>
      <c r="P35" s="30"/>
      <c r="Q35" s="30"/>
      <c r="R35" s="30"/>
      <c r="S35" s="30"/>
      <c r="T35" s="30"/>
      <c r="U35" s="30"/>
      <c r="V35" s="30"/>
      <c r="W35" s="30"/>
      <c r="X35" s="30"/>
    </row>
    <row r="36" customFormat="false" ht="21" hidden="false" customHeight="true" outlineLevel="0" collapsed="false">
      <c r="A36" s="30"/>
      <c r="B36" s="30"/>
      <c r="C36" s="30"/>
      <c r="D36" s="30"/>
      <c r="E36" s="30"/>
      <c r="F36" s="30"/>
      <c r="G36" s="30"/>
      <c r="L36" s="30"/>
      <c r="M36" s="30"/>
      <c r="N36" s="30"/>
      <c r="O36" s="30"/>
      <c r="P36" s="30"/>
      <c r="Q36" s="30"/>
      <c r="R36" s="30"/>
      <c r="S36" s="30"/>
      <c r="T36" s="30"/>
      <c r="U36" s="30"/>
      <c r="V36" s="30"/>
      <c r="W36" s="30"/>
      <c r="X36" s="30"/>
    </row>
    <row r="37" customFormat="false" ht="21" hidden="false" customHeight="true" outlineLevel="0" collapsed="false">
      <c r="A37" s="30"/>
      <c r="B37" s="30"/>
      <c r="C37" s="30"/>
      <c r="D37" s="30"/>
      <c r="E37" s="30"/>
      <c r="F37" s="30"/>
      <c r="G37" s="30"/>
      <c r="L37" s="30"/>
      <c r="M37" s="30"/>
      <c r="N37" s="30"/>
      <c r="O37" s="30"/>
      <c r="P37" s="30"/>
      <c r="Q37" s="30"/>
      <c r="R37" s="30"/>
      <c r="S37" s="30"/>
      <c r="T37" s="30"/>
      <c r="U37" s="30"/>
      <c r="V37" s="30"/>
      <c r="W37" s="30"/>
      <c r="X37" s="30"/>
    </row>
    <row r="38" customFormat="false" ht="21" hidden="false" customHeight="true" outlineLevel="0" collapsed="false">
      <c r="A38" s="30"/>
      <c r="B38" s="85" t="s">
        <v>93</v>
      </c>
      <c r="C38" s="86" t="s">
        <v>95</v>
      </c>
      <c r="D38" s="87" t="s">
        <v>104</v>
      </c>
      <c r="E38" s="88" t="s">
        <v>105</v>
      </c>
      <c r="F38" s="89" t="s">
        <v>106</v>
      </c>
      <c r="G38" s="89" t="s">
        <v>107</v>
      </c>
      <c r="L38" s="30"/>
      <c r="M38" s="30"/>
      <c r="N38" s="30"/>
      <c r="O38" s="30"/>
      <c r="P38" s="30"/>
      <c r="Q38" s="30"/>
      <c r="R38" s="30"/>
      <c r="S38" s="30"/>
      <c r="T38" s="30"/>
      <c r="U38" s="30"/>
      <c r="V38" s="30"/>
      <c r="W38" s="30"/>
      <c r="X38" s="30"/>
    </row>
    <row r="39" customFormat="false" ht="21" hidden="false" customHeight="true" outlineLevel="0" collapsed="false">
      <c r="A39" s="90" t="s">
        <v>108</v>
      </c>
      <c r="B39" s="65"/>
      <c r="C39" s="65"/>
      <c r="D39" s="65"/>
      <c r="E39" s="65"/>
      <c r="F39" s="59" t="n">
        <v>0</v>
      </c>
      <c r="G39" s="59" t="n">
        <v>0</v>
      </c>
      <c r="L39" s="30"/>
      <c r="M39" s="30"/>
      <c r="N39" s="30"/>
      <c r="O39" s="30"/>
      <c r="P39" s="30"/>
      <c r="Q39" s="30"/>
      <c r="R39" s="30"/>
      <c r="S39" s="30"/>
      <c r="T39" s="30"/>
      <c r="U39" s="30"/>
      <c r="V39" s="30"/>
      <c r="W39" s="30"/>
      <c r="X39" s="30"/>
    </row>
    <row r="40" customFormat="false" ht="21" hidden="false" customHeight="true" outlineLevel="0" collapsed="false">
      <c r="A40" s="30" t="s">
        <v>109</v>
      </c>
      <c r="B40" s="66"/>
      <c r="C40" s="66"/>
      <c r="D40" s="66"/>
      <c r="E40" s="66"/>
      <c r="F40" s="66" t="n">
        <f aca="false">B40</f>
        <v>0</v>
      </c>
      <c r="G40" s="66" t="e">
        <f aca="false">ROUND(F40*TAN($E$19)-(0.5*9.8*(F40/($B$30*COS($E$19)))^2),3)</f>
        <v>#DIV/0!</v>
      </c>
      <c r="L40" s="30"/>
      <c r="M40" s="30"/>
      <c r="N40" s="30"/>
      <c r="O40" s="30"/>
      <c r="P40" s="30"/>
      <c r="Q40" s="30"/>
      <c r="R40" s="30"/>
      <c r="S40" s="30"/>
      <c r="T40" s="30"/>
      <c r="U40" s="30"/>
      <c r="V40" s="30"/>
      <c r="W40" s="30"/>
      <c r="X40" s="30"/>
    </row>
    <row r="41" customFormat="false" ht="21" hidden="false" customHeight="true" outlineLevel="0" collapsed="false">
      <c r="A41" s="67" t="s">
        <v>110</v>
      </c>
      <c r="B41" s="68"/>
      <c r="C41" s="68"/>
      <c r="D41" s="68"/>
      <c r="E41" s="68"/>
      <c r="F41" s="68" t="n">
        <f aca="false">ROUND((B30^2)*SIN(2*E19)/(2*9.8),3)</f>
        <v>0</v>
      </c>
      <c r="G41" s="68" t="n">
        <f aca="false">ROUND(((B30*SIN(E19))^2)/(2*9.8),3)</f>
        <v>0</v>
      </c>
      <c r="L41" s="30"/>
      <c r="M41" s="30"/>
      <c r="N41" s="30"/>
      <c r="O41" s="30"/>
      <c r="P41" s="30"/>
      <c r="Q41" s="30"/>
      <c r="R41" s="30"/>
      <c r="S41" s="30"/>
      <c r="T41" s="30"/>
      <c r="U41" s="30"/>
      <c r="V41" s="30"/>
      <c r="W41" s="30"/>
      <c r="X41" s="30"/>
    </row>
    <row r="42" customFormat="false" ht="21" hidden="false" customHeight="true" outlineLevel="0" collapsed="false">
      <c r="A42" s="30" t="s">
        <v>111</v>
      </c>
      <c r="B42" s="66"/>
      <c r="C42" s="66"/>
      <c r="D42" s="66"/>
      <c r="E42" s="66"/>
      <c r="F42" s="66" t="n">
        <f aca="false">B42</f>
        <v>0</v>
      </c>
      <c r="G42" s="66" t="e">
        <f aca="false">ROUND(F42*TAN($E$19)-(0.5*9.8*(F42/($B$30*COS($E$19)))^2),3)</f>
        <v>#DIV/0!</v>
      </c>
      <c r="L42" s="30"/>
      <c r="M42" s="30"/>
      <c r="N42" s="30"/>
      <c r="O42" s="30"/>
      <c r="P42" s="30"/>
      <c r="Q42" s="30"/>
      <c r="R42" s="30"/>
      <c r="S42" s="30"/>
      <c r="T42" s="30"/>
      <c r="U42" s="30"/>
      <c r="V42" s="30"/>
      <c r="W42" s="30"/>
      <c r="X42" s="30"/>
    </row>
    <row r="43" customFormat="false" ht="21" hidden="false" customHeight="true" outlineLevel="0" collapsed="false">
      <c r="A43" s="67" t="s">
        <v>112</v>
      </c>
      <c r="B43" s="68"/>
      <c r="C43" s="68"/>
      <c r="D43" s="68"/>
      <c r="E43" s="68"/>
      <c r="F43" s="68" t="n">
        <f aca="false">ROUND((B30^2)*SIN(2*E19)/9.8,3)</f>
        <v>0</v>
      </c>
      <c r="G43" s="68" t="n">
        <v>0</v>
      </c>
      <c r="L43" s="30"/>
      <c r="M43" s="30"/>
      <c r="N43" s="30"/>
      <c r="O43" s="30"/>
      <c r="P43" s="30"/>
      <c r="Q43" s="30"/>
      <c r="R43" s="30"/>
      <c r="S43" s="30"/>
      <c r="T43" s="30"/>
      <c r="U43" s="30"/>
      <c r="V43" s="30"/>
      <c r="W43" s="30"/>
      <c r="X43" s="30"/>
    </row>
    <row r="44" customFormat="false" ht="21" hidden="false" customHeight="true" outlineLevel="0" collapsed="false">
      <c r="A44" s="30"/>
      <c r="B44" s="30"/>
      <c r="C44" s="30"/>
      <c r="D44" s="30"/>
      <c r="E44" s="30"/>
      <c r="F44" s="30"/>
      <c r="G44" s="30"/>
      <c r="L44" s="30"/>
      <c r="M44" s="30"/>
      <c r="N44" s="30"/>
      <c r="O44" s="30"/>
      <c r="P44" s="30"/>
      <c r="Q44" s="30"/>
      <c r="R44" s="30"/>
      <c r="S44" s="30"/>
      <c r="T44" s="30"/>
      <c r="U44" s="30"/>
      <c r="V44" s="30"/>
      <c r="W44" s="30"/>
      <c r="X44" s="30"/>
    </row>
    <row r="45" customFormat="false" ht="21" hidden="false" customHeight="true" outlineLevel="0" collapsed="false">
      <c r="A45" s="30"/>
      <c r="B45" s="30"/>
      <c r="C45" s="30"/>
      <c r="D45" s="30"/>
      <c r="E45" s="30"/>
      <c r="F45" s="30"/>
      <c r="G45" s="30"/>
      <c r="L45" s="30"/>
      <c r="M45" s="30"/>
      <c r="N45" s="30"/>
      <c r="O45" s="30"/>
      <c r="P45" s="30"/>
      <c r="Q45" s="30"/>
      <c r="R45" s="30"/>
      <c r="S45" s="30"/>
      <c r="T45" s="30"/>
      <c r="U45" s="30"/>
      <c r="V45" s="30"/>
      <c r="W45" s="30"/>
      <c r="X45" s="30"/>
    </row>
    <row r="46" customFormat="false" ht="36" hidden="false" customHeight="true" outlineLevel="0" collapsed="false">
      <c r="A46" s="46" t="s">
        <v>82</v>
      </c>
      <c r="B46" s="46"/>
      <c r="C46" s="46"/>
      <c r="D46" s="46"/>
      <c r="E46" s="46" t="n">
        <v>45</v>
      </c>
      <c r="F46" s="39"/>
      <c r="G46" s="36"/>
      <c r="H46" s="36"/>
      <c r="I46" s="36"/>
      <c r="J46" s="36"/>
      <c r="K46" s="36"/>
      <c r="L46" s="30"/>
      <c r="O46" s="30"/>
      <c r="P46" s="30"/>
      <c r="Q46" s="30"/>
      <c r="R46" s="30"/>
      <c r="S46" s="30"/>
      <c r="T46" s="30"/>
      <c r="U46" s="30"/>
      <c r="V46" s="30"/>
      <c r="W46" s="30"/>
      <c r="X46" s="30"/>
    </row>
    <row r="47" customFormat="false" ht="44.25" hidden="false" customHeight="true" outlineLevel="0" collapsed="false">
      <c r="A47" s="30"/>
      <c r="B47" s="30"/>
      <c r="C47" s="30"/>
      <c r="D47" s="47" t="s">
        <v>83</v>
      </c>
      <c r="E47" s="48" t="n">
        <f aca="false">RADIANS(E46)</f>
        <v>0.7853981634</v>
      </c>
      <c r="F47" s="39"/>
      <c r="G47" s="36"/>
      <c r="H47" s="36"/>
      <c r="I47" s="36"/>
      <c r="J47" s="36"/>
      <c r="K47" s="36"/>
      <c r="L47" s="30"/>
      <c r="O47" s="30"/>
      <c r="P47" s="30"/>
      <c r="Q47" s="30"/>
      <c r="R47" s="30"/>
      <c r="S47" s="30"/>
      <c r="T47" s="30"/>
      <c r="U47" s="30"/>
      <c r="V47" s="30"/>
      <c r="W47" s="30"/>
      <c r="X47" s="30"/>
    </row>
    <row r="48" customFormat="false" ht="21" hidden="false" customHeight="true" outlineLevel="0" collapsed="false">
      <c r="A48" s="30"/>
      <c r="B48" s="30"/>
      <c r="C48" s="44"/>
      <c r="D48" s="45"/>
      <c r="E48" s="40"/>
      <c r="F48" s="39"/>
      <c r="G48" s="36"/>
      <c r="H48" s="36"/>
      <c r="I48" s="36"/>
      <c r="J48" s="36"/>
      <c r="K48" s="36"/>
      <c r="L48" s="30"/>
      <c r="O48" s="30"/>
      <c r="P48" s="30"/>
      <c r="Q48" s="30"/>
      <c r="R48" s="30"/>
      <c r="S48" s="30"/>
      <c r="T48" s="30"/>
      <c r="U48" s="30"/>
      <c r="V48" s="30"/>
      <c r="W48" s="30"/>
      <c r="X48" s="30"/>
    </row>
    <row r="49" customFormat="false" ht="21" hidden="false" customHeight="true" outlineLevel="0" collapsed="false">
      <c r="A49" s="30"/>
      <c r="B49" s="30"/>
      <c r="C49" s="49" t="s">
        <v>84</v>
      </c>
      <c r="D49" s="49"/>
      <c r="E49" s="49"/>
      <c r="F49" s="49"/>
      <c r="G49" s="49"/>
      <c r="H49" s="49"/>
      <c r="I49" s="49"/>
      <c r="J49" s="49"/>
      <c r="K49" s="49"/>
      <c r="L49" s="30"/>
      <c r="O49" s="30"/>
      <c r="P49" s="30"/>
      <c r="Q49" s="30"/>
      <c r="R49" s="30"/>
      <c r="S49" s="30"/>
      <c r="T49" s="30"/>
      <c r="U49" s="30"/>
      <c r="V49" s="30"/>
      <c r="W49" s="30"/>
      <c r="X49" s="30"/>
    </row>
    <row r="50" customFormat="false" ht="21" hidden="false" customHeight="true" outlineLevel="0" collapsed="false">
      <c r="A50" s="30"/>
      <c r="B50" s="30"/>
      <c r="C50" s="49"/>
      <c r="D50" s="49"/>
      <c r="E50" s="49"/>
      <c r="F50" s="49"/>
      <c r="G50" s="49"/>
      <c r="H50" s="49"/>
      <c r="I50" s="49"/>
      <c r="J50" s="49"/>
      <c r="K50" s="49"/>
      <c r="L50" s="30"/>
      <c r="O50" s="30"/>
      <c r="P50" s="30"/>
      <c r="Q50" s="30"/>
      <c r="R50" s="30"/>
      <c r="S50" s="30"/>
      <c r="T50" s="30"/>
      <c r="U50" s="30"/>
      <c r="V50" s="30"/>
      <c r="W50" s="30"/>
      <c r="X50" s="30"/>
    </row>
    <row r="51" customFormat="false" ht="21" hidden="false" customHeight="true" outlineLevel="0" collapsed="false">
      <c r="A51" s="30"/>
      <c r="B51" s="30"/>
      <c r="C51" s="30"/>
      <c r="D51" s="42"/>
      <c r="E51" s="42"/>
      <c r="F51" s="39"/>
      <c r="G51" s="36"/>
      <c r="H51" s="36"/>
      <c r="I51" s="36"/>
      <c r="J51" s="36"/>
      <c r="K51" s="36"/>
      <c r="L51" s="30"/>
      <c r="O51" s="30"/>
      <c r="P51" s="30"/>
      <c r="Q51" s="30"/>
      <c r="R51" s="30"/>
      <c r="S51" s="30"/>
      <c r="T51" s="30"/>
      <c r="U51" s="30"/>
      <c r="V51" s="30"/>
      <c r="W51" s="30"/>
      <c r="X51" s="30"/>
    </row>
    <row r="52" customFormat="false" ht="21" hidden="false" customHeight="true" outlineLevel="0" collapsed="false">
      <c r="A52" s="30"/>
      <c r="B52" s="30"/>
      <c r="C52" s="30"/>
      <c r="D52" s="42"/>
      <c r="E52" s="42"/>
      <c r="F52" s="39"/>
      <c r="G52" s="36"/>
      <c r="H52" s="36"/>
      <c r="I52" s="36"/>
      <c r="J52" s="36"/>
      <c r="K52" s="36"/>
      <c r="L52" s="30"/>
      <c r="O52" s="30"/>
      <c r="P52" s="30"/>
      <c r="Q52" s="30"/>
      <c r="R52" s="30"/>
      <c r="S52" s="30"/>
      <c r="T52" s="30"/>
      <c r="U52" s="30"/>
      <c r="V52" s="30"/>
      <c r="W52" s="30"/>
      <c r="X52" s="30"/>
    </row>
    <row r="53" customFormat="false" ht="21" hidden="false" customHeight="true" outlineLevel="0" collapsed="false">
      <c r="A53" s="30"/>
      <c r="B53" s="30"/>
      <c r="C53" s="50" t="s">
        <v>86</v>
      </c>
      <c r="D53" s="50"/>
      <c r="E53" s="36"/>
      <c r="F53" s="50" t="s">
        <v>87</v>
      </c>
      <c r="G53" s="50"/>
      <c r="H53" s="36"/>
      <c r="I53" s="62" t="s">
        <v>88</v>
      </c>
      <c r="J53" s="62"/>
      <c r="K53" s="36"/>
      <c r="L53" s="50" t="s">
        <v>89</v>
      </c>
      <c r="M53" s="50"/>
      <c r="O53" s="51" t="s">
        <v>90</v>
      </c>
      <c r="P53" s="51"/>
      <c r="R53" s="30"/>
      <c r="S53" s="30"/>
      <c r="T53" s="30"/>
      <c r="U53" s="30"/>
      <c r="V53" s="30"/>
      <c r="W53" s="30"/>
      <c r="X53" s="30"/>
    </row>
    <row r="54" customFormat="false" ht="21" hidden="false" customHeight="true" outlineLevel="0" collapsed="false">
      <c r="A54" s="52"/>
      <c r="B54" s="53" t="s">
        <v>91</v>
      </c>
      <c r="C54" s="54" t="s">
        <v>92</v>
      </c>
      <c r="D54" s="55" t="n">
        <v>0</v>
      </c>
      <c r="E54" s="52"/>
      <c r="F54" s="56" t="s">
        <v>92</v>
      </c>
      <c r="G54" s="55"/>
      <c r="H54" s="52"/>
      <c r="I54" s="57" t="s">
        <v>93</v>
      </c>
      <c r="J54" s="58"/>
      <c r="K54" s="52"/>
      <c r="L54" s="56" t="s">
        <v>92</v>
      </c>
      <c r="M54" s="55"/>
      <c r="O54" s="57" t="s">
        <v>94</v>
      </c>
      <c r="P54" s="58" t="n">
        <v>0</v>
      </c>
      <c r="R54" s="52"/>
      <c r="S54" s="52"/>
      <c r="T54" s="52"/>
      <c r="U54" s="52"/>
      <c r="V54" s="52"/>
      <c r="W54" s="52"/>
      <c r="X54" s="52"/>
    </row>
    <row r="55" customFormat="false" ht="21" hidden="false" customHeight="true" outlineLevel="0" collapsed="false">
      <c r="A55" s="30"/>
      <c r="B55" s="59"/>
      <c r="C55" s="60"/>
      <c r="D55" s="61" t="s">
        <v>95</v>
      </c>
      <c r="E55" s="30"/>
      <c r="F55" s="60"/>
      <c r="G55" s="61" t="s">
        <v>95</v>
      </c>
      <c r="H55" s="36"/>
      <c r="I55" s="62"/>
      <c r="J55" s="63" t="s">
        <v>95</v>
      </c>
      <c r="K55" s="36"/>
      <c r="L55" s="60"/>
      <c r="M55" s="61" t="s">
        <v>95</v>
      </c>
      <c r="O55" s="62"/>
      <c r="P55" s="63" t="s">
        <v>93</v>
      </c>
      <c r="R55" s="30"/>
      <c r="S55" s="30"/>
      <c r="T55" s="30"/>
      <c r="U55" s="30"/>
      <c r="V55" s="30"/>
      <c r="W55" s="30"/>
      <c r="X55" s="30"/>
    </row>
    <row r="56" customFormat="false" ht="21" hidden="false" customHeight="true" outlineLevel="0" collapsed="false">
      <c r="A56" s="64" t="s">
        <v>96</v>
      </c>
      <c r="B56" s="65"/>
      <c r="C56" s="30"/>
      <c r="D56" s="66" t="n">
        <v>0</v>
      </c>
      <c r="E56" s="30"/>
      <c r="F56" s="30"/>
      <c r="G56" s="66"/>
      <c r="H56" s="36"/>
      <c r="I56" s="67"/>
      <c r="J56" s="68"/>
      <c r="K56" s="30"/>
      <c r="L56" s="30"/>
      <c r="M56" s="66"/>
      <c r="O56" s="67"/>
      <c r="P56" s="68"/>
      <c r="R56" s="30"/>
      <c r="S56" s="30"/>
      <c r="T56" s="30"/>
      <c r="U56" s="30"/>
      <c r="V56" s="30"/>
      <c r="W56" s="30"/>
      <c r="X56" s="30"/>
    </row>
    <row r="57" customFormat="false" ht="21" hidden="false" customHeight="true" outlineLevel="0" collapsed="false">
      <c r="A57" s="64" t="s">
        <v>97</v>
      </c>
      <c r="B57" s="69"/>
      <c r="C57" s="30"/>
      <c r="D57" s="66" t="n">
        <v>0</v>
      </c>
      <c r="E57" s="30"/>
      <c r="F57" s="30"/>
      <c r="G57" s="66"/>
      <c r="H57" s="36"/>
      <c r="I57" s="67"/>
      <c r="J57" s="68"/>
      <c r="K57" s="30"/>
      <c r="L57" s="30"/>
      <c r="M57" s="66"/>
      <c r="O57" s="67"/>
      <c r="P57" s="68"/>
      <c r="R57" s="30"/>
      <c r="S57" s="30"/>
      <c r="T57" s="30"/>
      <c r="U57" s="30"/>
      <c r="V57" s="30"/>
      <c r="W57" s="30"/>
      <c r="X57" s="30"/>
    </row>
    <row r="58" customFormat="false" ht="21" hidden="false" customHeight="true" outlineLevel="0" collapsed="false">
      <c r="A58" s="70" t="s">
        <v>98</v>
      </c>
      <c r="B58" s="71"/>
      <c r="C58" s="72" t="s">
        <v>99</v>
      </c>
      <c r="D58" s="73"/>
      <c r="E58" s="30"/>
      <c r="F58" s="74" t="s">
        <v>100</v>
      </c>
      <c r="G58" s="73"/>
      <c r="H58" s="30"/>
      <c r="I58" s="75" t="s">
        <v>100</v>
      </c>
      <c r="J58" s="76"/>
      <c r="K58" s="30"/>
      <c r="L58" s="74" t="s">
        <v>100</v>
      </c>
      <c r="M58" s="73"/>
      <c r="O58" s="75" t="s">
        <v>100</v>
      </c>
      <c r="P58" s="76"/>
      <c r="R58" s="30"/>
      <c r="S58" s="30"/>
      <c r="T58" s="30"/>
      <c r="U58" s="30"/>
      <c r="V58" s="30"/>
      <c r="W58" s="30"/>
      <c r="X58" s="30"/>
    </row>
    <row r="59" customFormat="false" ht="21" hidden="false" customHeight="true" outlineLevel="0" collapsed="false">
      <c r="A59" s="77" t="s">
        <v>101</v>
      </c>
      <c r="B59" s="78"/>
      <c r="C59" s="79" t="s">
        <v>102</v>
      </c>
      <c r="D59" s="80"/>
      <c r="E59" s="30"/>
      <c r="F59" s="81" t="s">
        <v>102</v>
      </c>
      <c r="G59" s="80"/>
      <c r="H59" s="30"/>
      <c r="I59" s="82" t="s">
        <v>102</v>
      </c>
      <c r="J59" s="83"/>
      <c r="K59" s="30"/>
      <c r="L59" s="81" t="s">
        <v>102</v>
      </c>
      <c r="M59" s="80"/>
      <c r="O59" s="82" t="s">
        <v>102</v>
      </c>
      <c r="P59" s="83"/>
      <c r="R59" s="30"/>
      <c r="S59" s="30"/>
      <c r="T59" s="30"/>
      <c r="U59" s="30"/>
      <c r="V59" s="30"/>
      <c r="W59" s="30"/>
      <c r="X59" s="30"/>
    </row>
    <row r="60" customFormat="false" ht="21" hidden="false" customHeight="true" outlineLevel="0" collapsed="false">
      <c r="A60" s="30"/>
      <c r="B60" s="30"/>
      <c r="C60" s="30"/>
      <c r="D60" s="30"/>
      <c r="E60" s="30"/>
      <c r="F60" s="30"/>
      <c r="G60" s="84"/>
      <c r="H60" s="84"/>
      <c r="I60" s="84"/>
      <c r="J60" s="84"/>
      <c r="K60" s="30"/>
      <c r="L60" s="30"/>
      <c r="M60" s="30"/>
      <c r="N60" s="30"/>
      <c r="O60" s="30"/>
      <c r="P60" s="30"/>
      <c r="Q60" s="30"/>
      <c r="R60" s="30"/>
      <c r="S60" s="30"/>
      <c r="T60" s="30"/>
      <c r="U60" s="30"/>
      <c r="V60" s="30"/>
      <c r="W60" s="30"/>
      <c r="X60" s="30"/>
    </row>
    <row r="61" customFormat="false" ht="21" hidden="false" customHeight="true" outlineLevel="0" collapsed="false">
      <c r="A61" s="30"/>
      <c r="B61" s="30"/>
      <c r="C61" s="30"/>
      <c r="D61" s="30"/>
      <c r="E61" s="30"/>
      <c r="F61" s="30"/>
      <c r="G61" s="30"/>
      <c r="H61" s="91" t="s">
        <v>103</v>
      </c>
      <c r="I61" s="91"/>
      <c r="J61" s="91"/>
      <c r="K61" s="91"/>
      <c r="L61" s="30"/>
      <c r="M61" s="30"/>
      <c r="N61" s="30"/>
      <c r="O61" s="30"/>
      <c r="P61" s="30"/>
      <c r="Q61" s="30"/>
      <c r="R61" s="30"/>
      <c r="S61" s="30"/>
      <c r="T61" s="30"/>
      <c r="U61" s="30"/>
      <c r="V61" s="30"/>
      <c r="W61" s="30"/>
      <c r="X61" s="30"/>
    </row>
    <row r="62" customFormat="false" ht="21" hidden="false" customHeight="true" outlineLevel="0" collapsed="false">
      <c r="A62" s="30"/>
      <c r="B62" s="30"/>
      <c r="C62" s="30"/>
      <c r="D62" s="30"/>
      <c r="E62" s="30"/>
      <c r="F62" s="30"/>
      <c r="G62" s="30"/>
      <c r="H62" s="91"/>
      <c r="I62" s="91"/>
      <c r="J62" s="91"/>
      <c r="K62" s="91"/>
      <c r="L62" s="30"/>
      <c r="M62" s="30"/>
      <c r="N62" s="30"/>
      <c r="O62" s="30"/>
      <c r="P62" s="30"/>
      <c r="Q62" s="30"/>
      <c r="R62" s="30"/>
      <c r="S62" s="30"/>
      <c r="T62" s="30"/>
      <c r="U62" s="30"/>
      <c r="V62" s="30"/>
      <c r="W62" s="30"/>
      <c r="X62" s="30"/>
    </row>
    <row r="63" customFormat="false" ht="21" hidden="false" customHeight="true" outlineLevel="0" collapsed="false">
      <c r="A63" s="30"/>
      <c r="B63" s="30"/>
      <c r="C63" s="30"/>
      <c r="D63" s="30"/>
      <c r="E63" s="30"/>
      <c r="F63" s="30"/>
      <c r="G63" s="30"/>
      <c r="H63" s="91"/>
      <c r="I63" s="91"/>
      <c r="J63" s="91"/>
      <c r="K63" s="91"/>
      <c r="L63" s="30"/>
      <c r="M63" s="30"/>
      <c r="N63" s="30"/>
      <c r="O63" s="30"/>
      <c r="P63" s="30"/>
      <c r="Q63" s="30"/>
      <c r="R63" s="30"/>
      <c r="S63" s="30"/>
      <c r="T63" s="30"/>
      <c r="U63" s="30"/>
      <c r="V63" s="30"/>
      <c r="W63" s="30"/>
      <c r="X63" s="30"/>
    </row>
    <row r="64" customFormat="false" ht="21" hidden="false" customHeight="true" outlineLevel="0" collapsed="false">
      <c r="A64" s="30"/>
      <c r="B64" s="30"/>
      <c r="C64" s="30"/>
      <c r="D64" s="30"/>
      <c r="E64" s="30"/>
      <c r="F64" s="30"/>
      <c r="G64" s="30"/>
      <c r="H64" s="91"/>
      <c r="I64" s="91"/>
      <c r="J64" s="91"/>
      <c r="K64" s="91"/>
      <c r="L64" s="30"/>
      <c r="M64" s="30"/>
      <c r="N64" s="30"/>
      <c r="O64" s="30"/>
      <c r="P64" s="30"/>
      <c r="Q64" s="30"/>
      <c r="R64" s="30"/>
      <c r="S64" s="30"/>
      <c r="T64" s="30"/>
      <c r="U64" s="30"/>
      <c r="V64" s="30"/>
      <c r="W64" s="30"/>
      <c r="X64" s="30"/>
    </row>
    <row r="65" customFormat="false" ht="21" hidden="false" customHeight="true" outlineLevel="0" collapsed="false">
      <c r="A65" s="30"/>
      <c r="B65" s="30"/>
      <c r="C65" s="30"/>
      <c r="D65" s="30"/>
      <c r="E65" s="30"/>
      <c r="F65" s="30"/>
      <c r="G65" s="30"/>
      <c r="H65" s="91"/>
      <c r="I65" s="91"/>
      <c r="J65" s="91"/>
      <c r="K65" s="91"/>
      <c r="L65" s="30"/>
      <c r="M65" s="30"/>
      <c r="N65" s="30"/>
      <c r="O65" s="30"/>
      <c r="P65" s="30"/>
      <c r="Q65" s="30"/>
      <c r="R65" s="30"/>
      <c r="S65" s="30"/>
      <c r="T65" s="30"/>
      <c r="U65" s="30"/>
      <c r="V65" s="30"/>
      <c r="W65" s="30"/>
      <c r="X65" s="30"/>
    </row>
    <row r="66" customFormat="false" ht="21" hidden="false" customHeight="true" outlineLevel="0" collapsed="false">
      <c r="A66" s="30"/>
      <c r="B66" s="85" t="s">
        <v>93</v>
      </c>
      <c r="C66" s="86" t="s">
        <v>95</v>
      </c>
      <c r="D66" s="87" t="s">
        <v>104</v>
      </c>
      <c r="E66" s="88" t="s">
        <v>105</v>
      </c>
      <c r="F66" s="89" t="s">
        <v>106</v>
      </c>
      <c r="G66" s="89" t="s">
        <v>107</v>
      </c>
      <c r="H66" s="91"/>
      <c r="I66" s="91"/>
      <c r="J66" s="91"/>
      <c r="K66" s="91"/>
      <c r="L66" s="30"/>
      <c r="M66" s="30"/>
      <c r="N66" s="30"/>
      <c r="O66" s="30"/>
      <c r="P66" s="30"/>
      <c r="Q66" s="30"/>
      <c r="R66" s="30"/>
      <c r="S66" s="30"/>
      <c r="T66" s="30"/>
      <c r="U66" s="30"/>
      <c r="V66" s="30"/>
      <c r="W66" s="30"/>
      <c r="X66" s="30"/>
    </row>
    <row r="67" customFormat="false" ht="21" hidden="false" customHeight="true" outlineLevel="0" collapsed="false">
      <c r="A67" s="90" t="s">
        <v>108</v>
      </c>
      <c r="B67" s="65"/>
      <c r="C67" s="65"/>
      <c r="D67" s="65"/>
      <c r="E67" s="65"/>
      <c r="F67" s="59" t="n">
        <v>0</v>
      </c>
      <c r="G67" s="59" t="n">
        <v>0</v>
      </c>
      <c r="H67" s="91"/>
      <c r="I67" s="91"/>
      <c r="J67" s="91"/>
      <c r="K67" s="91"/>
      <c r="L67" s="30"/>
      <c r="M67" s="30"/>
      <c r="N67" s="30"/>
      <c r="O67" s="30"/>
      <c r="P67" s="30"/>
      <c r="Q67" s="30"/>
      <c r="R67" s="30"/>
      <c r="S67" s="30"/>
      <c r="T67" s="30"/>
      <c r="U67" s="30"/>
      <c r="V67" s="30"/>
      <c r="W67" s="30"/>
      <c r="X67" s="30"/>
    </row>
    <row r="68" customFormat="false" ht="21" hidden="false" customHeight="true" outlineLevel="0" collapsed="false">
      <c r="A68" s="30" t="s">
        <v>109</v>
      </c>
      <c r="B68" s="66"/>
      <c r="C68" s="66"/>
      <c r="D68" s="66"/>
      <c r="E68" s="66"/>
      <c r="F68" s="66" t="n">
        <f aca="false">B68</f>
        <v>0</v>
      </c>
      <c r="G68" s="66" t="e">
        <f aca="false">ROUND(F68*TAN($E$47)-(0.5*9.8*(F68/($B$30*COS($E$47)))^2),3)</f>
        <v>#DIV/0!</v>
      </c>
      <c r="H68" s="91"/>
      <c r="I68" s="91"/>
      <c r="J68" s="91"/>
      <c r="K68" s="91"/>
      <c r="L68" s="30"/>
      <c r="M68" s="30"/>
      <c r="N68" s="30"/>
      <c r="O68" s="30"/>
      <c r="P68" s="30"/>
      <c r="Q68" s="30"/>
      <c r="R68" s="30"/>
      <c r="S68" s="30"/>
      <c r="T68" s="30"/>
      <c r="U68" s="30"/>
      <c r="V68" s="30"/>
      <c r="W68" s="30"/>
      <c r="X68" s="30"/>
    </row>
    <row r="69" customFormat="false" ht="21" hidden="false" customHeight="true" outlineLevel="0" collapsed="false">
      <c r="A69" s="67" t="s">
        <v>110</v>
      </c>
      <c r="B69" s="68"/>
      <c r="C69" s="68"/>
      <c r="D69" s="68"/>
      <c r="E69" s="68"/>
      <c r="F69" s="68" t="n">
        <f aca="false">ROUND((B60^2)*SIN(2*E49)/(2*9.8),3)</f>
        <v>0</v>
      </c>
      <c r="G69" s="68" t="n">
        <f aca="false">ROUND(((B60*SIN(E47))^2)/(2*9.8),3)</f>
        <v>0</v>
      </c>
      <c r="H69" s="91"/>
      <c r="I69" s="91"/>
      <c r="J69" s="91"/>
      <c r="K69" s="91"/>
      <c r="L69" s="30"/>
      <c r="M69" s="30"/>
      <c r="N69" s="30"/>
      <c r="O69" s="30"/>
      <c r="P69" s="30"/>
      <c r="Q69" s="30"/>
      <c r="R69" s="30"/>
      <c r="S69" s="30"/>
      <c r="T69" s="30"/>
      <c r="U69" s="30"/>
      <c r="V69" s="30"/>
      <c r="W69" s="30"/>
      <c r="X69" s="30"/>
    </row>
    <row r="70" customFormat="false" ht="21" hidden="false" customHeight="true" outlineLevel="0" collapsed="false">
      <c r="A70" s="30" t="s">
        <v>111</v>
      </c>
      <c r="B70" s="66"/>
      <c r="C70" s="66"/>
      <c r="D70" s="66"/>
      <c r="E70" s="66"/>
      <c r="F70" s="66" t="n">
        <f aca="false">B70</f>
        <v>0</v>
      </c>
      <c r="G70" s="66" t="e">
        <f aca="false">ROUND(F70*TAN($E$47)-(0.5*9.8*(F70/($B$30*COS($E$47)))^2),3)</f>
        <v>#DIV/0!</v>
      </c>
      <c r="H70" s="91"/>
      <c r="I70" s="91"/>
      <c r="J70" s="91"/>
      <c r="K70" s="91"/>
      <c r="L70" s="30"/>
      <c r="M70" s="30"/>
      <c r="N70" s="30"/>
      <c r="O70" s="30"/>
      <c r="P70" s="30"/>
      <c r="Q70" s="30"/>
      <c r="R70" s="30"/>
      <c r="S70" s="30"/>
      <c r="T70" s="30"/>
      <c r="U70" s="30"/>
      <c r="V70" s="30"/>
      <c r="W70" s="30"/>
      <c r="X70" s="30"/>
    </row>
    <row r="71" customFormat="false" ht="21" hidden="false" customHeight="true" outlineLevel="0" collapsed="false">
      <c r="A71" s="67" t="s">
        <v>112</v>
      </c>
      <c r="B71" s="68"/>
      <c r="C71" s="68"/>
      <c r="D71" s="68"/>
      <c r="E71" s="68"/>
      <c r="F71" s="68" t="n">
        <f aca="false">ROUND((B58^2)*SIN(2*E47)/9.8,3)</f>
        <v>0</v>
      </c>
      <c r="G71" s="68" t="n">
        <v>0</v>
      </c>
      <c r="H71" s="91"/>
      <c r="I71" s="91"/>
      <c r="J71" s="91"/>
      <c r="K71" s="91"/>
      <c r="L71" s="30"/>
      <c r="M71" s="30"/>
      <c r="N71" s="30"/>
      <c r="O71" s="30"/>
      <c r="P71" s="30"/>
      <c r="Q71" s="30"/>
      <c r="R71" s="30"/>
      <c r="S71" s="30"/>
      <c r="T71" s="30"/>
      <c r="U71" s="30"/>
      <c r="V71" s="30"/>
      <c r="W71" s="30"/>
      <c r="X71" s="30"/>
    </row>
    <row r="72" customFormat="false" ht="21" hidden="false" customHeight="true" outlineLevel="0" collapsed="false">
      <c r="A72" s="30"/>
      <c r="B72" s="30"/>
      <c r="C72" s="30"/>
      <c r="D72" s="30"/>
      <c r="E72" s="30"/>
      <c r="F72" s="30"/>
      <c r="G72" s="30"/>
      <c r="H72" s="91"/>
      <c r="I72" s="91"/>
      <c r="J72" s="91"/>
      <c r="K72" s="91"/>
      <c r="L72" s="30"/>
      <c r="M72" s="30"/>
      <c r="N72" s="30"/>
      <c r="O72" s="30"/>
      <c r="P72" s="30"/>
      <c r="Q72" s="30"/>
      <c r="R72" s="30"/>
      <c r="S72" s="30"/>
      <c r="T72" s="30"/>
      <c r="U72" s="30"/>
      <c r="V72" s="30"/>
      <c r="W72" s="30"/>
      <c r="X72" s="30"/>
    </row>
    <row r="73" customFormat="false" ht="21" hidden="false" customHeight="true" outlineLevel="0" collapsed="false">
      <c r="A73" s="30"/>
      <c r="B73" s="30"/>
      <c r="C73" s="30"/>
      <c r="D73" s="30"/>
      <c r="E73" s="30"/>
      <c r="F73" s="30"/>
      <c r="G73" s="30"/>
      <c r="H73" s="91"/>
      <c r="I73" s="91"/>
      <c r="J73" s="91"/>
      <c r="K73" s="91"/>
      <c r="L73" s="30"/>
      <c r="M73" s="30"/>
      <c r="N73" s="30"/>
      <c r="O73" s="30"/>
      <c r="P73" s="30"/>
      <c r="Q73" s="30"/>
      <c r="R73" s="30"/>
      <c r="S73" s="30"/>
      <c r="T73" s="30"/>
      <c r="U73" s="30"/>
      <c r="V73" s="30"/>
      <c r="W73" s="30"/>
      <c r="X73" s="30"/>
    </row>
    <row r="74" customFormat="false" ht="21" hidden="false" customHeight="true" outlineLevel="0" collapsed="false">
      <c r="A74" s="30"/>
      <c r="B74" s="30"/>
      <c r="C74" s="30"/>
      <c r="D74" s="30"/>
      <c r="E74" s="30"/>
      <c r="F74" s="30"/>
      <c r="G74" s="30"/>
      <c r="H74" s="30"/>
      <c r="I74" s="30"/>
      <c r="J74" s="30"/>
      <c r="K74" s="30"/>
      <c r="L74" s="30"/>
      <c r="M74" s="30"/>
      <c r="N74" s="30"/>
      <c r="O74" s="30"/>
      <c r="P74" s="30"/>
      <c r="Q74" s="30"/>
      <c r="R74" s="30"/>
      <c r="S74" s="30"/>
      <c r="T74" s="30"/>
      <c r="U74" s="30"/>
      <c r="V74" s="30"/>
      <c r="W74" s="30"/>
      <c r="X74" s="30"/>
    </row>
    <row r="75" customFormat="false" ht="36" hidden="false" customHeight="true" outlineLevel="0" collapsed="false">
      <c r="A75" s="46" t="s">
        <v>82</v>
      </c>
      <c r="B75" s="46"/>
      <c r="C75" s="46"/>
      <c r="D75" s="46"/>
      <c r="E75" s="46" t="n">
        <v>60</v>
      </c>
      <c r="F75" s="39"/>
      <c r="G75" s="36"/>
      <c r="H75" s="36"/>
      <c r="I75" s="36"/>
      <c r="J75" s="36"/>
      <c r="K75" s="36"/>
      <c r="L75" s="30"/>
      <c r="M75" s="30"/>
      <c r="N75" s="30"/>
      <c r="O75" s="30"/>
      <c r="P75" s="30"/>
      <c r="Q75" s="30"/>
      <c r="R75" s="30"/>
      <c r="S75" s="30"/>
      <c r="T75" s="30"/>
      <c r="U75" s="30"/>
      <c r="V75" s="30"/>
      <c r="W75" s="30"/>
      <c r="X75" s="30"/>
    </row>
    <row r="76" customFormat="false" ht="44.25" hidden="false" customHeight="true" outlineLevel="0" collapsed="false">
      <c r="A76" s="30"/>
      <c r="B76" s="30"/>
      <c r="C76" s="30"/>
      <c r="D76" s="47" t="s">
        <v>83</v>
      </c>
      <c r="E76" s="48" t="n">
        <f aca="false">RADIANS(E75)</f>
        <v>1.047197551</v>
      </c>
      <c r="F76" s="39"/>
      <c r="G76" s="36"/>
      <c r="H76" s="36"/>
      <c r="I76" s="36"/>
      <c r="J76" s="36"/>
      <c r="K76" s="36"/>
      <c r="L76" s="30"/>
      <c r="M76" s="30"/>
      <c r="N76" s="30"/>
      <c r="O76" s="30"/>
      <c r="P76" s="30"/>
      <c r="Q76" s="30"/>
      <c r="R76" s="30"/>
      <c r="S76" s="30"/>
      <c r="T76" s="30"/>
      <c r="U76" s="30"/>
      <c r="V76" s="30"/>
      <c r="W76" s="30"/>
      <c r="X76" s="30"/>
    </row>
    <row r="77" customFormat="false" ht="21" hidden="false" customHeight="true" outlineLevel="0" collapsed="false">
      <c r="A77" s="30"/>
      <c r="B77" s="30"/>
      <c r="C77" s="44"/>
      <c r="D77" s="45"/>
      <c r="E77" s="40"/>
      <c r="F77" s="39"/>
      <c r="G77" s="36"/>
      <c r="H77" s="36"/>
      <c r="I77" s="36"/>
      <c r="J77" s="36"/>
      <c r="K77" s="36"/>
      <c r="L77" s="30"/>
      <c r="M77" s="30"/>
      <c r="N77" s="30"/>
      <c r="O77" s="30"/>
      <c r="P77" s="30"/>
      <c r="Q77" s="30"/>
      <c r="R77" s="30"/>
      <c r="S77" s="30"/>
      <c r="T77" s="30"/>
      <c r="U77" s="30"/>
      <c r="V77" s="30"/>
      <c r="W77" s="30"/>
      <c r="X77" s="30"/>
    </row>
    <row r="78" customFormat="false" ht="21" hidden="false" customHeight="true" outlineLevel="0" collapsed="false">
      <c r="A78" s="30"/>
      <c r="B78" s="30"/>
      <c r="C78" s="49" t="s">
        <v>84</v>
      </c>
      <c r="D78" s="49"/>
      <c r="E78" s="49"/>
      <c r="F78" s="49"/>
      <c r="G78" s="49"/>
      <c r="H78" s="49"/>
      <c r="I78" s="49"/>
      <c r="J78" s="49"/>
      <c r="K78" s="49"/>
      <c r="L78" s="30"/>
      <c r="M78" s="30"/>
      <c r="N78" s="30"/>
      <c r="O78" s="30"/>
      <c r="P78" s="30"/>
      <c r="Q78" s="30"/>
      <c r="R78" s="30"/>
      <c r="S78" s="30"/>
      <c r="T78" s="30"/>
      <c r="U78" s="30"/>
      <c r="V78" s="30"/>
      <c r="W78" s="30"/>
      <c r="X78" s="30"/>
    </row>
    <row r="79" customFormat="false" ht="21" hidden="false" customHeight="true" outlineLevel="0" collapsed="false">
      <c r="A79" s="30"/>
      <c r="B79" s="30"/>
      <c r="C79" s="49"/>
      <c r="D79" s="49"/>
      <c r="E79" s="49"/>
      <c r="F79" s="49"/>
      <c r="G79" s="49"/>
      <c r="H79" s="49"/>
      <c r="I79" s="49"/>
      <c r="J79" s="49"/>
      <c r="K79" s="49"/>
      <c r="L79" s="30"/>
      <c r="M79" s="30"/>
      <c r="N79" s="30"/>
      <c r="O79" s="30"/>
      <c r="P79" s="30"/>
      <c r="Q79" s="30"/>
      <c r="R79" s="30"/>
      <c r="S79" s="30"/>
      <c r="T79" s="30"/>
      <c r="U79" s="30"/>
      <c r="V79" s="30"/>
      <c r="W79" s="30"/>
      <c r="X79" s="30"/>
    </row>
    <row r="80" customFormat="false" ht="21" hidden="false" customHeight="true" outlineLevel="0" collapsed="false">
      <c r="A80" s="30"/>
      <c r="B80" s="30"/>
      <c r="C80" s="30"/>
      <c r="D80" s="42"/>
      <c r="E80" s="42"/>
      <c r="F80" s="39"/>
      <c r="G80" s="36"/>
      <c r="H80" s="36"/>
      <c r="I80" s="36"/>
      <c r="J80" s="36"/>
      <c r="K80" s="36"/>
      <c r="L80" s="30"/>
      <c r="M80" s="30"/>
      <c r="N80" s="30"/>
      <c r="O80" s="30"/>
      <c r="P80" s="30"/>
      <c r="Q80" s="30"/>
      <c r="R80" s="30"/>
      <c r="S80" s="30"/>
      <c r="T80" s="30"/>
      <c r="U80" s="30"/>
      <c r="V80" s="30"/>
      <c r="W80" s="30"/>
      <c r="X80" s="30"/>
    </row>
    <row r="81" customFormat="false" ht="21" hidden="false" customHeight="true" outlineLevel="0" collapsed="false">
      <c r="A81" s="30"/>
      <c r="B81" s="30"/>
      <c r="C81" s="30"/>
      <c r="D81" s="42"/>
      <c r="E81" s="42"/>
      <c r="F81" s="39"/>
      <c r="G81" s="36"/>
      <c r="H81" s="36"/>
      <c r="I81" s="36"/>
      <c r="J81" s="36"/>
      <c r="K81" s="36"/>
      <c r="L81" s="30"/>
      <c r="M81" s="30"/>
      <c r="N81" s="30"/>
      <c r="O81" s="30"/>
      <c r="P81" s="30"/>
      <c r="Q81" s="30"/>
      <c r="R81" s="30"/>
      <c r="S81" s="30"/>
      <c r="T81" s="30"/>
      <c r="U81" s="30"/>
      <c r="V81" s="30"/>
      <c r="W81" s="30"/>
      <c r="X81" s="30"/>
    </row>
    <row r="82" customFormat="false" ht="21" hidden="false" customHeight="true" outlineLevel="0" collapsed="false">
      <c r="A82" s="30"/>
      <c r="B82" s="30"/>
      <c r="C82" s="50" t="s">
        <v>86</v>
      </c>
      <c r="D82" s="50"/>
      <c r="E82" s="36"/>
      <c r="F82" s="50" t="s">
        <v>87</v>
      </c>
      <c r="G82" s="50"/>
      <c r="H82" s="36"/>
      <c r="I82" s="62" t="s">
        <v>88</v>
      </c>
      <c r="J82" s="62"/>
      <c r="K82" s="36"/>
      <c r="L82" s="50" t="s">
        <v>89</v>
      </c>
      <c r="M82" s="50"/>
      <c r="O82" s="51" t="s">
        <v>90</v>
      </c>
      <c r="P82" s="51"/>
      <c r="R82" s="30"/>
      <c r="S82" s="30"/>
      <c r="T82" s="30"/>
      <c r="U82" s="30"/>
      <c r="V82" s="30"/>
      <c r="W82" s="30"/>
      <c r="X82" s="30"/>
    </row>
    <row r="83" customFormat="false" ht="21" hidden="false" customHeight="true" outlineLevel="0" collapsed="false">
      <c r="A83" s="52"/>
      <c r="B83" s="53" t="s">
        <v>91</v>
      </c>
      <c r="C83" s="54" t="s">
        <v>92</v>
      </c>
      <c r="D83" s="55" t="n">
        <v>0</v>
      </c>
      <c r="E83" s="52"/>
      <c r="F83" s="56" t="s">
        <v>92</v>
      </c>
      <c r="G83" s="55"/>
      <c r="H83" s="52"/>
      <c r="I83" s="57" t="s">
        <v>93</v>
      </c>
      <c r="J83" s="58"/>
      <c r="K83" s="52"/>
      <c r="L83" s="56" t="s">
        <v>92</v>
      </c>
      <c r="M83" s="55"/>
      <c r="O83" s="57" t="s">
        <v>94</v>
      </c>
      <c r="P83" s="58" t="n">
        <v>0</v>
      </c>
      <c r="R83" s="52"/>
      <c r="S83" s="52"/>
      <c r="T83" s="52"/>
      <c r="U83" s="52"/>
      <c r="V83" s="52"/>
      <c r="W83" s="52"/>
      <c r="X83" s="52"/>
    </row>
    <row r="84" customFormat="false" ht="21" hidden="false" customHeight="true" outlineLevel="0" collapsed="false">
      <c r="A84" s="30"/>
      <c r="B84" s="59"/>
      <c r="C84" s="60"/>
      <c r="D84" s="61" t="s">
        <v>95</v>
      </c>
      <c r="E84" s="30"/>
      <c r="F84" s="60"/>
      <c r="G84" s="61" t="s">
        <v>95</v>
      </c>
      <c r="H84" s="36"/>
      <c r="I84" s="62"/>
      <c r="J84" s="63" t="s">
        <v>95</v>
      </c>
      <c r="K84" s="36"/>
      <c r="L84" s="60"/>
      <c r="M84" s="61" t="s">
        <v>95</v>
      </c>
      <c r="O84" s="62"/>
      <c r="P84" s="63" t="s">
        <v>93</v>
      </c>
      <c r="R84" s="30"/>
      <c r="S84" s="30"/>
      <c r="T84" s="30"/>
      <c r="U84" s="30"/>
      <c r="V84" s="30"/>
      <c r="W84" s="30"/>
      <c r="X84" s="30"/>
    </row>
    <row r="85" customFormat="false" ht="21" hidden="false" customHeight="true" outlineLevel="0" collapsed="false">
      <c r="A85" s="64" t="s">
        <v>96</v>
      </c>
      <c r="B85" s="65"/>
      <c r="C85" s="30"/>
      <c r="D85" s="66" t="n">
        <v>0</v>
      </c>
      <c r="E85" s="30"/>
      <c r="F85" s="30"/>
      <c r="G85" s="66"/>
      <c r="H85" s="36"/>
      <c r="I85" s="67"/>
      <c r="J85" s="68"/>
      <c r="K85" s="30"/>
      <c r="L85" s="30"/>
      <c r="M85" s="66"/>
      <c r="O85" s="67"/>
      <c r="P85" s="68"/>
      <c r="R85" s="30"/>
      <c r="S85" s="30"/>
      <c r="T85" s="30"/>
      <c r="U85" s="30"/>
      <c r="V85" s="30"/>
      <c r="W85" s="30"/>
      <c r="X85" s="30"/>
    </row>
    <row r="86" customFormat="false" ht="21" hidden="false" customHeight="true" outlineLevel="0" collapsed="false">
      <c r="A86" s="64" t="s">
        <v>97</v>
      </c>
      <c r="B86" s="69"/>
      <c r="C86" s="30"/>
      <c r="D86" s="66" t="n">
        <v>0</v>
      </c>
      <c r="E86" s="30"/>
      <c r="F86" s="30"/>
      <c r="G86" s="66"/>
      <c r="H86" s="36"/>
      <c r="I86" s="67"/>
      <c r="J86" s="68"/>
      <c r="K86" s="30"/>
      <c r="L86" s="30"/>
      <c r="M86" s="66"/>
      <c r="O86" s="67"/>
      <c r="P86" s="68"/>
      <c r="R86" s="30"/>
      <c r="S86" s="30"/>
      <c r="T86" s="30"/>
      <c r="U86" s="30"/>
      <c r="V86" s="30"/>
      <c r="W86" s="30"/>
      <c r="X86" s="30"/>
    </row>
    <row r="87" customFormat="false" ht="21" hidden="false" customHeight="true" outlineLevel="0" collapsed="false">
      <c r="A87" s="70" t="s">
        <v>98</v>
      </c>
      <c r="B87" s="71"/>
      <c r="C87" s="72" t="s">
        <v>99</v>
      </c>
      <c r="D87" s="73"/>
      <c r="E87" s="30"/>
      <c r="F87" s="74" t="s">
        <v>100</v>
      </c>
      <c r="G87" s="73"/>
      <c r="H87" s="30"/>
      <c r="I87" s="75" t="s">
        <v>100</v>
      </c>
      <c r="J87" s="76"/>
      <c r="K87" s="30"/>
      <c r="L87" s="74" t="s">
        <v>100</v>
      </c>
      <c r="M87" s="73"/>
      <c r="O87" s="75" t="s">
        <v>100</v>
      </c>
      <c r="P87" s="76"/>
      <c r="R87" s="30"/>
      <c r="S87" s="30"/>
      <c r="T87" s="30"/>
      <c r="U87" s="30"/>
      <c r="V87" s="30"/>
      <c r="W87" s="30"/>
      <c r="X87" s="30"/>
    </row>
    <row r="88" customFormat="false" ht="21" hidden="false" customHeight="true" outlineLevel="0" collapsed="false">
      <c r="A88" s="77" t="s">
        <v>101</v>
      </c>
      <c r="B88" s="78"/>
      <c r="C88" s="79" t="s">
        <v>102</v>
      </c>
      <c r="D88" s="80"/>
      <c r="E88" s="30"/>
      <c r="F88" s="81" t="s">
        <v>102</v>
      </c>
      <c r="G88" s="80"/>
      <c r="H88" s="30"/>
      <c r="I88" s="82" t="s">
        <v>102</v>
      </c>
      <c r="J88" s="83"/>
      <c r="K88" s="30"/>
      <c r="L88" s="81" t="s">
        <v>102</v>
      </c>
      <c r="M88" s="80"/>
      <c r="O88" s="82" t="s">
        <v>102</v>
      </c>
      <c r="P88" s="83"/>
      <c r="R88" s="30"/>
      <c r="S88" s="30"/>
      <c r="T88" s="30"/>
      <c r="U88" s="30"/>
      <c r="V88" s="30"/>
      <c r="W88" s="30"/>
      <c r="X88" s="30"/>
    </row>
    <row r="89" customFormat="false" ht="21" hidden="false" customHeight="true" outlineLevel="0" collapsed="false">
      <c r="A89" s="30"/>
      <c r="B89" s="30"/>
      <c r="C89" s="30"/>
      <c r="D89" s="30"/>
      <c r="E89" s="30"/>
      <c r="F89" s="30"/>
      <c r="G89" s="84"/>
      <c r="H89" s="84"/>
      <c r="I89" s="84"/>
      <c r="J89" s="84"/>
      <c r="K89" s="30"/>
      <c r="L89" s="30"/>
      <c r="M89" s="30"/>
      <c r="N89" s="30"/>
      <c r="O89" s="30"/>
      <c r="P89" s="30"/>
      <c r="Q89" s="30"/>
      <c r="R89" s="30"/>
      <c r="S89" s="30"/>
      <c r="T89" s="30"/>
      <c r="U89" s="30"/>
      <c r="V89" s="30"/>
      <c r="W89" s="30"/>
      <c r="X89" s="30"/>
    </row>
    <row r="90" customFormat="false" ht="21" hidden="false" customHeight="true" outlineLevel="0" collapsed="false">
      <c r="A90" s="30"/>
      <c r="B90" s="30"/>
      <c r="C90" s="30"/>
      <c r="D90" s="30"/>
      <c r="E90" s="30"/>
      <c r="F90" s="30"/>
      <c r="G90" s="30"/>
      <c r="H90" s="84"/>
      <c r="I90" s="84"/>
      <c r="J90" s="84"/>
      <c r="K90" s="30"/>
      <c r="L90" s="30"/>
      <c r="M90" s="30"/>
      <c r="N90" s="30"/>
      <c r="O90" s="30"/>
      <c r="P90" s="30"/>
      <c r="Q90" s="30"/>
      <c r="R90" s="30"/>
      <c r="S90" s="30"/>
      <c r="T90" s="30"/>
      <c r="U90" s="30"/>
      <c r="V90" s="30"/>
      <c r="W90" s="30"/>
      <c r="X90" s="30"/>
    </row>
    <row r="91" customFormat="false" ht="21" hidden="false" customHeight="true" outlineLevel="0" collapsed="false">
      <c r="A91" s="30"/>
      <c r="B91" s="30"/>
      <c r="C91" s="30"/>
      <c r="D91" s="30"/>
      <c r="E91" s="30"/>
      <c r="F91" s="30"/>
      <c r="G91" s="30"/>
      <c r="H91" s="91" t="s">
        <v>103</v>
      </c>
      <c r="I91" s="91"/>
      <c r="J91" s="91"/>
      <c r="K91" s="91"/>
      <c r="L91" s="30"/>
      <c r="M91" s="30"/>
      <c r="N91" s="30"/>
      <c r="O91" s="30"/>
      <c r="P91" s="30"/>
      <c r="Q91" s="30"/>
      <c r="R91" s="30"/>
      <c r="S91" s="30"/>
      <c r="T91" s="30"/>
      <c r="U91" s="30"/>
      <c r="V91" s="30"/>
      <c r="W91" s="30"/>
      <c r="X91" s="30"/>
    </row>
    <row r="92" customFormat="false" ht="21" hidden="false" customHeight="true" outlineLevel="0" collapsed="false">
      <c r="A92" s="30"/>
      <c r="B92" s="30"/>
      <c r="C92" s="30"/>
      <c r="D92" s="30"/>
      <c r="E92" s="30"/>
      <c r="F92" s="30"/>
      <c r="G92" s="30"/>
      <c r="H92" s="91"/>
      <c r="I92" s="91"/>
      <c r="J92" s="91"/>
      <c r="K92" s="91"/>
      <c r="L92" s="30"/>
      <c r="M92" s="30"/>
      <c r="N92" s="30"/>
      <c r="O92" s="30"/>
      <c r="P92" s="30"/>
      <c r="Q92" s="30"/>
      <c r="R92" s="30"/>
      <c r="S92" s="30"/>
      <c r="T92" s="30"/>
      <c r="U92" s="30"/>
      <c r="V92" s="30"/>
      <c r="W92" s="30"/>
      <c r="X92" s="30"/>
    </row>
    <row r="93" customFormat="false" ht="21" hidden="false" customHeight="true" outlineLevel="0" collapsed="false">
      <c r="A93" s="30"/>
      <c r="B93" s="30"/>
      <c r="C93" s="30"/>
      <c r="D93" s="30"/>
      <c r="E93" s="30"/>
      <c r="F93" s="30"/>
      <c r="G93" s="30"/>
      <c r="H93" s="91"/>
      <c r="I93" s="91"/>
      <c r="J93" s="91"/>
      <c r="K93" s="91"/>
      <c r="L93" s="30"/>
      <c r="M93" s="30"/>
      <c r="N93" s="30"/>
      <c r="O93" s="30"/>
      <c r="P93" s="30"/>
      <c r="Q93" s="30"/>
      <c r="R93" s="30"/>
      <c r="S93" s="30"/>
      <c r="T93" s="30"/>
      <c r="U93" s="30"/>
      <c r="V93" s="30"/>
      <c r="W93" s="30"/>
      <c r="X93" s="30"/>
    </row>
    <row r="94" customFormat="false" ht="21" hidden="false" customHeight="true" outlineLevel="0" collapsed="false">
      <c r="A94" s="30"/>
      <c r="B94" s="30"/>
      <c r="C94" s="30"/>
      <c r="D94" s="30"/>
      <c r="E94" s="30"/>
      <c r="F94" s="30"/>
      <c r="G94" s="30"/>
      <c r="H94" s="91"/>
      <c r="I94" s="91"/>
      <c r="J94" s="91"/>
      <c r="K94" s="91"/>
      <c r="L94" s="30"/>
      <c r="M94" s="30"/>
      <c r="N94" s="30"/>
      <c r="O94" s="30"/>
      <c r="P94" s="30"/>
      <c r="Q94" s="30"/>
      <c r="R94" s="30"/>
      <c r="S94" s="30"/>
      <c r="T94" s="30"/>
      <c r="U94" s="30"/>
      <c r="V94" s="30"/>
      <c r="W94" s="30"/>
      <c r="X94" s="30"/>
    </row>
    <row r="95" customFormat="false" ht="21" hidden="false" customHeight="true" outlineLevel="0" collapsed="false">
      <c r="A95" s="30"/>
      <c r="B95" s="85" t="s">
        <v>93</v>
      </c>
      <c r="C95" s="86" t="s">
        <v>95</v>
      </c>
      <c r="D95" s="87" t="s">
        <v>104</v>
      </c>
      <c r="E95" s="88" t="s">
        <v>105</v>
      </c>
      <c r="F95" s="89" t="s">
        <v>106</v>
      </c>
      <c r="G95" s="89" t="s">
        <v>107</v>
      </c>
      <c r="H95" s="91"/>
      <c r="I95" s="91"/>
      <c r="J95" s="91"/>
      <c r="K95" s="91"/>
      <c r="L95" s="30"/>
      <c r="M95" s="30"/>
      <c r="N95" s="30"/>
      <c r="O95" s="30"/>
      <c r="P95" s="30"/>
      <c r="Q95" s="30"/>
      <c r="R95" s="30"/>
      <c r="S95" s="30"/>
      <c r="T95" s="30"/>
      <c r="U95" s="30"/>
      <c r="V95" s="30"/>
      <c r="W95" s="30"/>
      <c r="X95" s="30"/>
    </row>
    <row r="96" customFormat="false" ht="21" hidden="false" customHeight="true" outlineLevel="0" collapsed="false">
      <c r="A96" s="90" t="s">
        <v>108</v>
      </c>
      <c r="B96" s="65"/>
      <c r="C96" s="65"/>
      <c r="D96" s="65"/>
      <c r="E96" s="65"/>
      <c r="F96" s="59" t="n">
        <v>0</v>
      </c>
      <c r="G96" s="59" t="n">
        <v>0</v>
      </c>
      <c r="H96" s="91"/>
      <c r="I96" s="91"/>
      <c r="J96" s="91"/>
      <c r="K96" s="91"/>
      <c r="L96" s="30"/>
      <c r="M96" s="30"/>
      <c r="N96" s="30"/>
      <c r="O96" s="30"/>
      <c r="P96" s="30"/>
      <c r="Q96" s="30"/>
      <c r="R96" s="30"/>
      <c r="S96" s="30"/>
      <c r="T96" s="30"/>
      <c r="U96" s="30"/>
      <c r="V96" s="30"/>
      <c r="W96" s="30"/>
      <c r="X96" s="30"/>
    </row>
    <row r="97" customFormat="false" ht="21" hidden="false" customHeight="true" outlineLevel="0" collapsed="false">
      <c r="A97" s="30" t="s">
        <v>109</v>
      </c>
      <c r="B97" s="66"/>
      <c r="C97" s="66"/>
      <c r="D97" s="66"/>
      <c r="E97" s="66"/>
      <c r="F97" s="66" t="n">
        <f aca="false">B97</f>
        <v>0</v>
      </c>
      <c r="G97" s="66" t="e">
        <f aca="false">ROUND(F97*TAN($E$76)-(0.5*9.8*(F97/($B$30*COS($E$76)))^2),3)</f>
        <v>#DIV/0!</v>
      </c>
      <c r="H97" s="91"/>
      <c r="I97" s="91"/>
      <c r="J97" s="91"/>
      <c r="K97" s="91"/>
      <c r="L97" s="30"/>
      <c r="M97" s="30"/>
      <c r="N97" s="30"/>
      <c r="O97" s="30"/>
      <c r="P97" s="30"/>
      <c r="Q97" s="30"/>
      <c r="R97" s="30"/>
      <c r="S97" s="30"/>
      <c r="T97" s="30"/>
      <c r="U97" s="30"/>
      <c r="V97" s="30"/>
      <c r="W97" s="30"/>
      <c r="X97" s="30"/>
    </row>
    <row r="98" customFormat="false" ht="21" hidden="false" customHeight="true" outlineLevel="0" collapsed="false">
      <c r="A98" s="67" t="s">
        <v>110</v>
      </c>
      <c r="B98" s="68"/>
      <c r="C98" s="68"/>
      <c r="D98" s="68"/>
      <c r="E98" s="68"/>
      <c r="F98" s="68" t="n">
        <f aca="false">ROUND((B89^2)*SIN(2*E78)/(2*9.8),3)</f>
        <v>0</v>
      </c>
      <c r="G98" s="68" t="n">
        <f aca="false">ROUND(((B89*SIN(E78))^2)/(2*9.8),3)</f>
        <v>0</v>
      </c>
      <c r="H98" s="91"/>
      <c r="I98" s="91"/>
      <c r="J98" s="91"/>
      <c r="K98" s="91"/>
      <c r="L98" s="30"/>
      <c r="M98" s="30"/>
      <c r="N98" s="30"/>
      <c r="O98" s="30"/>
      <c r="P98" s="30"/>
      <c r="Q98" s="30"/>
      <c r="R98" s="30"/>
      <c r="S98" s="30"/>
      <c r="T98" s="30"/>
      <c r="U98" s="30"/>
      <c r="V98" s="30"/>
      <c r="W98" s="30"/>
      <c r="X98" s="30"/>
    </row>
    <row r="99" customFormat="false" ht="21" hidden="false" customHeight="true" outlineLevel="0" collapsed="false">
      <c r="A99" s="30" t="s">
        <v>111</v>
      </c>
      <c r="B99" s="66"/>
      <c r="C99" s="66"/>
      <c r="D99" s="66"/>
      <c r="E99" s="66"/>
      <c r="F99" s="66" t="n">
        <f aca="false">B99</f>
        <v>0</v>
      </c>
      <c r="G99" s="66" t="e">
        <f aca="false">ROUND(F99*TAN($E$76)-(0.5*9.8*(F99/($B$30*COS($E$76)))^2),3)</f>
        <v>#DIV/0!</v>
      </c>
      <c r="H99" s="91"/>
      <c r="I99" s="91"/>
      <c r="J99" s="91"/>
      <c r="K99" s="91"/>
      <c r="L99" s="30"/>
      <c r="M99" s="30"/>
      <c r="N99" s="30"/>
      <c r="O99" s="30"/>
      <c r="P99" s="30"/>
      <c r="Q99" s="30"/>
      <c r="R99" s="30"/>
      <c r="S99" s="30"/>
      <c r="T99" s="30"/>
      <c r="U99" s="30"/>
      <c r="V99" s="30"/>
      <c r="W99" s="30"/>
      <c r="X99" s="30"/>
    </row>
    <row r="100" customFormat="false" ht="21" hidden="false" customHeight="true" outlineLevel="0" collapsed="false">
      <c r="A100" s="67" t="s">
        <v>112</v>
      </c>
      <c r="B100" s="68"/>
      <c r="C100" s="68"/>
      <c r="D100" s="68"/>
      <c r="E100" s="68"/>
      <c r="F100" s="68" t="n">
        <f aca="false">ROUND((B87^2)*SIN(2*E76)/9.8,3)</f>
        <v>0</v>
      </c>
      <c r="G100" s="68" t="n">
        <v>0</v>
      </c>
      <c r="H100" s="91"/>
      <c r="I100" s="91"/>
      <c r="J100" s="91"/>
      <c r="K100" s="91"/>
      <c r="L100" s="30"/>
      <c r="M100" s="30"/>
      <c r="N100" s="30"/>
      <c r="O100" s="30"/>
      <c r="P100" s="30"/>
      <c r="Q100" s="30"/>
      <c r="R100" s="30"/>
      <c r="S100" s="30"/>
      <c r="T100" s="30"/>
      <c r="U100" s="30"/>
      <c r="V100" s="30"/>
      <c r="W100" s="30"/>
      <c r="X100" s="30"/>
    </row>
    <row r="101" customFormat="false" ht="13.5" hidden="false" customHeight="true" outlineLevel="0" collapsed="false">
      <c r="A101" s="30"/>
      <c r="B101" s="30"/>
      <c r="C101" s="30"/>
      <c r="D101" s="30"/>
      <c r="E101" s="30"/>
      <c r="F101" s="30"/>
      <c r="G101" s="30"/>
      <c r="H101" s="91"/>
      <c r="I101" s="91"/>
      <c r="J101" s="91"/>
      <c r="K101" s="91"/>
      <c r="L101" s="30"/>
      <c r="M101" s="30"/>
      <c r="N101" s="30"/>
      <c r="O101" s="30"/>
      <c r="P101" s="30"/>
      <c r="Q101" s="30"/>
      <c r="R101" s="30"/>
      <c r="S101" s="30"/>
      <c r="T101" s="30"/>
      <c r="U101" s="30"/>
      <c r="V101" s="30"/>
      <c r="W101" s="30"/>
      <c r="X101" s="30"/>
    </row>
    <row r="102" customFormat="false" ht="13.5" hidden="false" customHeight="true" outlineLevel="0" collapsed="false">
      <c r="A102" s="30"/>
      <c r="B102" s="30"/>
      <c r="C102" s="30"/>
      <c r="D102" s="30"/>
      <c r="E102" s="30"/>
      <c r="F102" s="30"/>
      <c r="G102" s="30"/>
      <c r="H102" s="91"/>
      <c r="I102" s="91"/>
      <c r="J102" s="91"/>
      <c r="K102" s="91"/>
      <c r="L102" s="30"/>
      <c r="M102" s="30"/>
      <c r="N102" s="30"/>
      <c r="O102" s="30"/>
      <c r="P102" s="30"/>
      <c r="Q102" s="30"/>
      <c r="R102" s="30"/>
      <c r="S102" s="30"/>
      <c r="T102" s="30"/>
      <c r="U102" s="30"/>
      <c r="V102" s="30"/>
      <c r="W102" s="30"/>
      <c r="X102" s="30"/>
    </row>
    <row r="103" customFormat="false" ht="13.5" hidden="false" customHeight="true" outlineLevel="0" collapsed="false">
      <c r="A103" s="30"/>
      <c r="B103" s="30"/>
      <c r="C103" s="30"/>
      <c r="D103" s="30"/>
      <c r="E103" s="30"/>
      <c r="F103" s="30"/>
      <c r="G103" s="30"/>
      <c r="H103" s="91"/>
      <c r="I103" s="91"/>
      <c r="J103" s="91"/>
      <c r="K103" s="91"/>
      <c r="L103" s="30"/>
      <c r="M103" s="30"/>
      <c r="N103" s="30"/>
      <c r="O103" s="30"/>
      <c r="P103" s="30"/>
      <c r="Q103" s="30"/>
      <c r="R103" s="30"/>
      <c r="S103" s="30"/>
      <c r="T103" s="30"/>
      <c r="U103" s="30"/>
      <c r="V103" s="30"/>
      <c r="W103" s="30"/>
      <c r="X103" s="30"/>
    </row>
    <row r="104" customFormat="false" ht="13.5" hidden="false" customHeight="true" outlineLevel="0" collapsed="false">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row>
    <row r="105" customFormat="false" ht="13.5" hidden="false" customHeight="true" outlineLevel="0" collapsed="false">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row>
    <row r="106" customFormat="false" ht="13.5" hidden="false" customHeight="true" outlineLevel="0" collapsed="false">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row>
    <row r="107" customFormat="false" ht="13.5" hidden="false" customHeight="true" outlineLevel="0" collapsed="false">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row>
    <row r="108" customFormat="false" ht="13.5" hidden="false" customHeight="true" outlineLevel="0" collapsed="false">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row>
    <row r="109" customFormat="false" ht="13.5" hidden="false" customHeight="true" outlineLevel="0" collapsed="false">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row>
    <row r="110" customFormat="false" ht="13.5" hidden="false" customHeight="true" outlineLevel="0" collapsed="false">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row>
    <row r="111" customFormat="false" ht="13.5" hidden="false" customHeight="true" outlineLevel="0" collapsed="false">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row>
    <row r="112" customFormat="false" ht="13.5" hidden="false" customHeight="true" outlineLevel="0" collapsed="false">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row>
    <row r="113" customFormat="false" ht="13.5" hidden="false" customHeight="true" outlineLevel="0" collapsed="false">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row>
    <row r="114" customFormat="false" ht="13.5" hidden="false" customHeight="true" outlineLevel="0" collapsed="false">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row>
    <row r="115" customFormat="false" ht="13.5" hidden="false" customHeight="true" outlineLevel="0" collapsed="false">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row>
    <row r="116" customFormat="false" ht="13.5" hidden="false" customHeight="true" outlineLevel="0" collapsed="false">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row>
    <row r="117" customFormat="false" ht="13.5" hidden="false" customHeight="true" outlineLevel="0" collapsed="false">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row>
    <row r="118" customFormat="false" ht="13.5" hidden="false" customHeight="true" outlineLevel="0" collapsed="false">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row>
    <row r="119" customFormat="false" ht="13.5" hidden="false" customHeight="true" outlineLevel="0" collapsed="false">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row>
    <row r="120" customFormat="false" ht="13.5" hidden="false" customHeight="true" outlineLevel="0" collapsed="false">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row>
    <row r="121" customFormat="false" ht="13.5" hidden="false" customHeight="true" outlineLevel="0" collapsed="false">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row>
    <row r="122" customFormat="false" ht="13.5" hidden="false" customHeight="true" outlineLevel="0" collapsed="false">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row>
    <row r="123" customFormat="false" ht="13.5" hidden="false" customHeight="true" outlineLevel="0" collapsed="false">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row>
    <row r="124" customFormat="false" ht="13.5" hidden="false" customHeight="true" outlineLevel="0" collapsed="false">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row>
    <row r="125" customFormat="false" ht="13.5" hidden="false" customHeight="true" outlineLevel="0" collapsed="false">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row>
    <row r="126" customFormat="false" ht="13.5" hidden="false" customHeight="true" outlineLevel="0" collapsed="false">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row>
    <row r="127" customFormat="false" ht="13.5" hidden="false" customHeight="true" outlineLevel="0" collapsed="false">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row>
    <row r="128" customFormat="false" ht="13.5" hidden="false" customHeight="true" outlineLevel="0" collapsed="false">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row>
    <row r="129" customFormat="false" ht="13.5" hidden="false" customHeight="true" outlineLevel="0" collapsed="false">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row>
    <row r="130" customFormat="false" ht="13.5" hidden="false" customHeight="true" outlineLevel="0" collapsed="false">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row>
    <row r="131" customFormat="false" ht="13.5" hidden="false" customHeight="true" outlineLevel="0" collapsed="false">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row>
    <row r="132" customFormat="false" ht="13.5" hidden="false" customHeight="true" outlineLevel="0" collapsed="false">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row>
    <row r="133" customFormat="false" ht="13.5" hidden="false" customHeight="true" outlineLevel="0" collapsed="false">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row>
    <row r="134" customFormat="false" ht="13.5" hidden="false" customHeight="true" outlineLevel="0" collapsed="false">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row>
    <row r="135" customFormat="false" ht="13.5" hidden="false" customHeight="true" outlineLevel="0" collapsed="false">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row>
    <row r="136" customFormat="false" ht="13.5" hidden="false" customHeight="true" outlineLevel="0" collapsed="false">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row>
    <row r="137" customFormat="false" ht="13.5" hidden="false" customHeight="true" outlineLevel="0" collapsed="false">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row>
    <row r="138" customFormat="false" ht="13.5" hidden="false" customHeight="true" outlineLevel="0" collapsed="false">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row>
    <row r="139" customFormat="false" ht="13.5" hidden="false" customHeight="true" outlineLevel="0" collapsed="false">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row>
    <row r="140" customFormat="false" ht="13.5" hidden="false" customHeight="true" outlineLevel="0" collapsed="false">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row>
    <row r="141" customFormat="false" ht="13.5" hidden="false" customHeight="true" outlineLevel="0" collapsed="false">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row>
    <row r="142" customFormat="false" ht="13.5" hidden="false" customHeight="true" outlineLevel="0" collapsed="false">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row>
    <row r="143" customFormat="false" ht="13.5" hidden="false" customHeight="true" outlineLevel="0" collapsed="false">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row>
    <row r="144" customFormat="false" ht="13.5" hidden="false" customHeight="true" outlineLevel="0" collapsed="false">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row>
    <row r="145" customFormat="false" ht="13.5" hidden="false" customHeight="true" outlineLevel="0" collapsed="false">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row>
    <row r="146" customFormat="false" ht="13.5" hidden="false" customHeight="true" outlineLevel="0" collapsed="false">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row>
    <row r="147" customFormat="false" ht="13.5" hidden="false" customHeight="true" outlineLevel="0" collapsed="false">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row>
    <row r="148" customFormat="false" ht="13.5" hidden="false" customHeight="true" outlineLevel="0" collapsed="false">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row>
    <row r="149" customFormat="false" ht="13.5" hidden="false" customHeight="true" outlineLevel="0" collapsed="false">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row>
    <row r="150" customFormat="false" ht="13.5" hidden="false" customHeight="true" outlineLevel="0" collapsed="false">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row>
    <row r="151" customFormat="false" ht="13.5" hidden="false" customHeight="true" outlineLevel="0" collapsed="false">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row>
    <row r="152" customFormat="false" ht="13.5" hidden="false" customHeight="true" outlineLevel="0" collapsed="false">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row>
    <row r="153" customFormat="false" ht="13.5" hidden="false" customHeight="true" outlineLevel="0" collapsed="false">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row>
    <row r="154" customFormat="false" ht="13.5" hidden="false" customHeight="true" outlineLevel="0" collapsed="false">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row>
    <row r="155" customFormat="false" ht="13.5" hidden="false" customHeight="true" outlineLevel="0" collapsed="false">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row>
    <row r="156" customFormat="false" ht="13.5" hidden="false" customHeight="true" outlineLevel="0" collapsed="false">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row>
    <row r="157" customFormat="false" ht="13.5" hidden="false" customHeight="true" outlineLevel="0" collapsed="false">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row>
    <row r="158" customFormat="false" ht="13.5" hidden="false" customHeight="true" outlineLevel="0" collapsed="false">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row>
    <row r="159" customFormat="false" ht="13.5" hidden="false" customHeight="true" outlineLevel="0" collapsed="false">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row>
    <row r="160" customFormat="false" ht="13.5" hidden="false" customHeight="true" outlineLevel="0" collapsed="false">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row>
    <row r="161" customFormat="false" ht="13.5" hidden="false" customHeight="true" outlineLevel="0" collapsed="false">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row>
    <row r="162" customFormat="false" ht="13.5" hidden="false" customHeight="true" outlineLevel="0" collapsed="false">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row>
    <row r="163" customFormat="false" ht="13.5" hidden="false" customHeight="true" outlineLevel="0" collapsed="false">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row>
    <row r="164" customFormat="false" ht="13.5" hidden="false" customHeight="true" outlineLevel="0" collapsed="false">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row>
    <row r="165" customFormat="false" ht="13.5" hidden="false" customHeight="true" outlineLevel="0" collapsed="false">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row>
    <row r="166" customFormat="false" ht="13.5" hidden="false" customHeight="true" outlineLevel="0" collapsed="false">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row>
    <row r="167" customFormat="false" ht="13.5" hidden="false" customHeight="true" outlineLevel="0" collapsed="false">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row>
    <row r="168" customFormat="false" ht="13.5" hidden="false" customHeight="true" outlineLevel="0" collapsed="false">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row>
    <row r="169" customFormat="false" ht="13.5" hidden="false" customHeight="true" outlineLevel="0" collapsed="false">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row>
    <row r="170" customFormat="false" ht="13.5" hidden="false" customHeight="true" outlineLevel="0" collapsed="false">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row>
    <row r="171" customFormat="false" ht="13.5" hidden="false" customHeight="true" outlineLevel="0" collapsed="false">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row>
    <row r="172" customFormat="false" ht="13.5" hidden="false" customHeight="true" outlineLevel="0" collapsed="false">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row>
    <row r="173" customFormat="false" ht="13.5" hidden="false" customHeight="true" outlineLevel="0" collapsed="false">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row>
    <row r="174" customFormat="false" ht="13.5" hidden="false" customHeight="true" outlineLevel="0" collapsed="false">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row>
    <row r="175" customFormat="false" ht="13.5" hidden="false" customHeight="true" outlineLevel="0" collapsed="false">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row>
    <row r="176" customFormat="false" ht="13.5" hidden="false" customHeight="true" outlineLevel="0" collapsed="false">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row>
    <row r="177" customFormat="false" ht="13.5" hidden="false" customHeight="true" outlineLevel="0" collapsed="false">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row>
    <row r="178" customFormat="false" ht="13.5" hidden="false" customHeight="true" outlineLevel="0" collapsed="false">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row>
    <row r="179" customFormat="false" ht="13.5" hidden="false" customHeight="true" outlineLevel="0" collapsed="false">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row>
    <row r="180" customFormat="false" ht="13.5" hidden="false" customHeight="true" outlineLevel="0" collapsed="false">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row>
    <row r="181" customFormat="false" ht="13.5" hidden="false" customHeight="true" outlineLevel="0" collapsed="false">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row>
    <row r="182" customFormat="false" ht="13.5" hidden="false" customHeight="true" outlineLevel="0" collapsed="false">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row>
    <row r="183" customFormat="false" ht="13.5" hidden="false" customHeight="true" outlineLevel="0" collapsed="false">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row>
    <row r="184" customFormat="false" ht="13.5" hidden="false" customHeight="true" outlineLevel="0" collapsed="false">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row>
    <row r="185" customFormat="false" ht="13.5" hidden="false" customHeight="true" outlineLevel="0" collapsed="false">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row>
    <row r="186" customFormat="false" ht="13.5" hidden="false" customHeight="true" outlineLevel="0" collapsed="false">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row>
    <row r="187" customFormat="false" ht="13.5" hidden="false" customHeight="true" outlineLevel="0" collapsed="false">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row>
    <row r="188" customFormat="false" ht="13.5" hidden="false" customHeight="true" outlineLevel="0" collapsed="false">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row>
    <row r="189" customFormat="false" ht="13.5" hidden="false" customHeight="true" outlineLevel="0" collapsed="false">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row>
    <row r="190" customFormat="false" ht="13.5" hidden="false" customHeight="true" outlineLevel="0" collapsed="false">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row>
    <row r="191" customFormat="false" ht="13.5" hidden="false" customHeight="true" outlineLevel="0" collapsed="false">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row>
    <row r="192" customFormat="false" ht="13.5" hidden="false" customHeight="true" outlineLevel="0" collapsed="false">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row>
    <row r="193" customFormat="false" ht="13.5" hidden="false" customHeight="true" outlineLevel="0" collapsed="false">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row>
    <row r="194" customFormat="false" ht="13.5" hidden="false" customHeight="true" outlineLevel="0" collapsed="false">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row>
    <row r="195" customFormat="false" ht="13.5" hidden="false" customHeight="true" outlineLevel="0" collapsed="false">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row>
    <row r="196" customFormat="false" ht="13.5" hidden="false" customHeight="true" outlineLevel="0" collapsed="false">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row>
    <row r="197" customFormat="false" ht="13.5" hidden="false" customHeight="true" outlineLevel="0" collapsed="false">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row>
    <row r="198" customFormat="false" ht="13.5" hidden="false" customHeight="true" outlineLevel="0" collapsed="false">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row>
    <row r="199" customFormat="false" ht="13.5" hidden="false" customHeight="true" outlineLevel="0" collapsed="false">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row>
    <row r="200" customFormat="false" ht="13.5" hidden="false" customHeight="true" outlineLevel="0" collapsed="false">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row>
    <row r="201" customFormat="false" ht="13.5" hidden="false" customHeight="true" outlineLevel="0" collapsed="false">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row>
    <row r="202" customFormat="false" ht="13.5" hidden="false" customHeight="true" outlineLevel="0" collapsed="false">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row>
    <row r="203" customFormat="false" ht="13.5" hidden="false" customHeight="true" outlineLevel="0" collapsed="false">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row>
    <row r="204" customFormat="false" ht="13.5" hidden="false" customHeight="true" outlineLevel="0" collapsed="false">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row>
    <row r="205" customFormat="false" ht="13.5" hidden="false" customHeight="true" outlineLevel="0" collapsed="false">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row>
    <row r="206" customFormat="false" ht="13.5" hidden="false" customHeight="true" outlineLevel="0" collapsed="false">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row>
    <row r="207" customFormat="false" ht="13.5" hidden="false" customHeight="true" outlineLevel="0" collapsed="false">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row>
    <row r="208" customFormat="false" ht="13.5" hidden="false" customHeight="true" outlineLevel="0" collapsed="false">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row>
    <row r="209" customFormat="false" ht="13.5" hidden="false" customHeight="true" outlineLevel="0" collapsed="false">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row>
    <row r="210" customFormat="false" ht="13.5" hidden="false" customHeight="true" outlineLevel="0" collapsed="false">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row>
    <row r="211" customFormat="false" ht="13.5" hidden="false" customHeight="true" outlineLevel="0" collapsed="false">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row>
    <row r="212" customFormat="false" ht="13.5" hidden="false" customHeight="true" outlineLevel="0" collapsed="false">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row>
    <row r="213" customFormat="false" ht="13.5" hidden="false" customHeight="true" outlineLevel="0" collapsed="false">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row>
    <row r="214" customFormat="false" ht="13.5" hidden="false" customHeight="true" outlineLevel="0" collapsed="false">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row>
    <row r="215" customFormat="false" ht="13.5" hidden="false" customHeight="true" outlineLevel="0" collapsed="false">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row>
    <row r="216" customFormat="false" ht="13.5" hidden="false" customHeight="true" outlineLevel="0" collapsed="false">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row>
    <row r="217" customFormat="false" ht="13.5" hidden="false" customHeight="true" outlineLevel="0" collapsed="false">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row>
    <row r="218" customFormat="false" ht="13.5" hidden="false" customHeight="true" outlineLevel="0" collapsed="false">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row>
    <row r="219" customFormat="false" ht="13.5" hidden="false" customHeight="true" outlineLevel="0" collapsed="false">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row>
    <row r="220" customFormat="false" ht="13.5" hidden="false" customHeight="true" outlineLevel="0" collapsed="false">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row>
    <row r="221" customFormat="false" ht="13.5" hidden="false" customHeight="true" outlineLevel="0" collapsed="false">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row>
    <row r="222" customFormat="false" ht="13.5" hidden="false" customHeight="true" outlineLevel="0" collapsed="false">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row>
    <row r="223" customFormat="false" ht="13.5" hidden="false" customHeight="true" outlineLevel="0" collapsed="false">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row>
    <row r="224" customFormat="false" ht="13.5" hidden="false" customHeight="true" outlineLevel="0" collapsed="false">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row>
    <row r="225" customFormat="false" ht="13.5" hidden="false" customHeight="true" outlineLevel="0" collapsed="false">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row>
    <row r="226" customFormat="false" ht="13.5" hidden="false" customHeight="true" outlineLevel="0" collapsed="false">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row>
    <row r="227" customFormat="false" ht="13.5" hidden="false" customHeight="true" outlineLevel="0" collapsed="false">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row>
    <row r="228" customFormat="false" ht="13.5" hidden="false" customHeight="true" outlineLevel="0" collapsed="false">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row>
    <row r="229" customFormat="false" ht="13.5" hidden="false" customHeight="true" outlineLevel="0" collapsed="false">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row>
    <row r="230" customFormat="false" ht="13.5" hidden="false" customHeight="true" outlineLevel="0" collapsed="false">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row>
    <row r="231" customFormat="false" ht="13.5" hidden="false" customHeight="true" outlineLevel="0" collapsed="false">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row>
    <row r="232" customFormat="false" ht="13.5" hidden="false" customHeight="true" outlineLevel="0" collapsed="false">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row>
    <row r="233" customFormat="false" ht="13.5" hidden="false" customHeight="true" outlineLevel="0" collapsed="false">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row>
    <row r="234" customFormat="false" ht="13.5" hidden="false" customHeight="true" outlineLevel="0" collapsed="false">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row>
    <row r="235" customFormat="false" ht="13.5" hidden="false" customHeight="true" outlineLevel="0" collapsed="false">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row>
    <row r="236" customFormat="false" ht="13.5" hidden="false" customHeight="true" outlineLevel="0" collapsed="false">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row>
    <row r="237" customFormat="false" ht="13.5" hidden="false" customHeight="true" outlineLevel="0" collapsed="false">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row>
    <row r="238" customFormat="false" ht="13.5" hidden="false" customHeight="true" outlineLevel="0" collapsed="false">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row>
    <row r="239" customFormat="false" ht="13.5" hidden="false" customHeight="true" outlineLevel="0" collapsed="false">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row>
    <row r="240" customFormat="false" ht="13.5" hidden="false" customHeight="true" outlineLevel="0" collapsed="false">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row>
    <row r="241" customFormat="false" ht="13.5" hidden="false" customHeight="true" outlineLevel="0" collapsed="false">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row>
    <row r="242" customFormat="false" ht="13.5" hidden="false" customHeight="true" outlineLevel="0" collapsed="false">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row>
    <row r="243" customFormat="false" ht="13.5" hidden="false" customHeight="true" outlineLevel="0" collapsed="false">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row>
    <row r="244" customFormat="false" ht="13.5" hidden="false" customHeight="true" outlineLevel="0" collapsed="false">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row>
    <row r="245" customFormat="false" ht="13.5" hidden="false" customHeight="true" outlineLevel="0" collapsed="false">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row>
    <row r="246" customFormat="false" ht="13.5" hidden="false" customHeight="true" outlineLevel="0" collapsed="false">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row>
    <row r="247" customFormat="false" ht="13.5" hidden="false" customHeight="true" outlineLevel="0" collapsed="false">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row>
    <row r="248" customFormat="false" ht="13.5" hidden="false" customHeight="true" outlineLevel="0" collapsed="false">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row>
    <row r="249" customFormat="false" ht="13.5" hidden="false" customHeight="true" outlineLevel="0" collapsed="false">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row>
    <row r="250" customFormat="false" ht="13.5" hidden="false" customHeight="true" outlineLevel="0" collapsed="false">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row>
    <row r="251" customFormat="false" ht="13.5" hidden="false" customHeight="true" outlineLevel="0" collapsed="false">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row>
    <row r="252" customFormat="false" ht="13.5" hidden="false" customHeight="true" outlineLevel="0" collapsed="false">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row>
    <row r="253" customFormat="false" ht="13.5" hidden="false" customHeight="true" outlineLevel="0" collapsed="false">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row>
    <row r="254" customFormat="false" ht="13.5" hidden="false" customHeight="true" outlineLevel="0" collapsed="false">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row>
    <row r="255" customFormat="false" ht="13.5" hidden="false" customHeight="true" outlineLevel="0" collapsed="false">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row>
    <row r="256" customFormat="false" ht="13.5" hidden="false" customHeight="true" outlineLevel="0" collapsed="false">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row>
    <row r="257" customFormat="false" ht="13.5" hidden="false" customHeight="true" outlineLevel="0" collapsed="false">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row>
    <row r="258" customFormat="false" ht="13.5" hidden="false" customHeight="true" outlineLevel="0" collapsed="false">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row>
    <row r="259" customFormat="false" ht="13.5" hidden="false" customHeight="true" outlineLevel="0" collapsed="false">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row>
    <row r="260" customFormat="false" ht="13.5" hidden="false" customHeight="true" outlineLevel="0" collapsed="false">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row>
    <row r="261" customFormat="false" ht="13.5" hidden="false" customHeight="true" outlineLevel="0" collapsed="false">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row>
    <row r="262" customFormat="false" ht="13.5" hidden="false" customHeight="true" outlineLevel="0" collapsed="false">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row>
    <row r="263" customFormat="false" ht="13.5" hidden="false" customHeight="true" outlineLevel="0" collapsed="false">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row>
    <row r="264" customFormat="false" ht="13.5" hidden="false" customHeight="true" outlineLevel="0" collapsed="false">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row>
    <row r="265" customFormat="false" ht="13.5" hidden="false" customHeight="true" outlineLevel="0" collapsed="false">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row>
    <row r="266" customFormat="false" ht="13.5" hidden="false" customHeight="true" outlineLevel="0" collapsed="false">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row>
    <row r="267" customFormat="false" ht="13.5" hidden="false" customHeight="true" outlineLevel="0" collapsed="false">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row>
    <row r="268" customFormat="false" ht="13.5" hidden="false" customHeight="true" outlineLevel="0" collapsed="false">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row>
    <row r="269" customFormat="false" ht="13.5" hidden="false" customHeight="true" outlineLevel="0" collapsed="false">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row>
    <row r="270" customFormat="false" ht="13.5" hidden="false" customHeight="true" outlineLevel="0" collapsed="false">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row>
    <row r="271" customFormat="false" ht="13.5" hidden="false" customHeight="true" outlineLevel="0" collapsed="false">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row>
    <row r="272" customFormat="false" ht="13.5" hidden="false" customHeight="true" outlineLevel="0" collapsed="false">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row>
    <row r="273" customFormat="false" ht="13.5" hidden="false" customHeight="true" outlineLevel="0" collapsed="false">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row>
    <row r="274" customFormat="false" ht="13.5" hidden="false" customHeight="true" outlineLevel="0" collapsed="false">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row>
    <row r="275" customFormat="false" ht="13.5" hidden="false" customHeight="true" outlineLevel="0" collapsed="false">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row>
    <row r="276" customFormat="false" ht="13.5" hidden="false" customHeight="true" outlineLevel="0" collapsed="false">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row>
    <row r="277" customFormat="false" ht="13.5" hidden="false" customHeight="true" outlineLevel="0" collapsed="false">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row>
    <row r="278" customFormat="false" ht="13.5" hidden="false" customHeight="true" outlineLevel="0" collapsed="false">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row>
    <row r="279" customFormat="false" ht="13.5" hidden="false" customHeight="true" outlineLevel="0" collapsed="false">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row>
    <row r="280" customFormat="false" ht="13.5" hidden="false" customHeight="true" outlineLevel="0" collapsed="false">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row>
    <row r="281" customFormat="false" ht="13.5" hidden="false" customHeight="true" outlineLevel="0" collapsed="false">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row>
    <row r="282" customFormat="false" ht="13.5" hidden="false" customHeight="true" outlineLevel="0" collapsed="false">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row>
    <row r="283" customFormat="false" ht="13.5" hidden="false" customHeight="true" outlineLevel="0" collapsed="false">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row>
    <row r="284" customFormat="false" ht="13.5" hidden="false" customHeight="true" outlineLevel="0" collapsed="false">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row>
    <row r="285" customFormat="false" ht="13.5" hidden="false" customHeight="true" outlineLevel="0" collapsed="false">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row>
    <row r="286" customFormat="false" ht="13.5" hidden="false" customHeight="true" outlineLevel="0" collapsed="false">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row>
    <row r="287" customFormat="false" ht="13.5" hidden="false" customHeight="true" outlineLevel="0" collapsed="false">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row>
    <row r="288" customFormat="false" ht="13.5" hidden="false" customHeight="true" outlineLevel="0" collapsed="false">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row>
    <row r="289" customFormat="false" ht="13.5" hidden="false" customHeight="true" outlineLevel="0" collapsed="false">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row>
    <row r="290" customFormat="false" ht="13.5" hidden="false" customHeight="true" outlineLevel="0" collapsed="false">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row>
    <row r="291" customFormat="false" ht="13.5" hidden="false" customHeight="true" outlineLevel="0" collapsed="false">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row>
    <row r="292" customFormat="false" ht="13.5" hidden="false" customHeight="true" outlineLevel="0" collapsed="false">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row>
    <row r="293" customFormat="false" ht="13.5" hidden="false" customHeight="true" outlineLevel="0" collapsed="false">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row>
    <row r="294" customFormat="false" ht="13.5" hidden="false" customHeight="true" outlineLevel="0" collapsed="false">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row>
    <row r="295" customFormat="false" ht="13.5" hidden="false" customHeight="true" outlineLevel="0" collapsed="false">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row>
    <row r="296" customFormat="false" ht="13.5" hidden="false" customHeight="true" outlineLevel="0" collapsed="false">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row>
    <row r="297" customFormat="false" ht="13.5" hidden="false" customHeight="true" outlineLevel="0" collapsed="false">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row>
    <row r="298" customFormat="false" ht="13.5" hidden="false" customHeight="true" outlineLevel="0" collapsed="false">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row>
    <row r="299" customFormat="false" ht="13.5" hidden="false" customHeight="true" outlineLevel="0" collapsed="false">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row>
    <row r="300" customFormat="false" ht="13.5" hidden="false" customHeight="true" outlineLevel="0" collapsed="false">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row>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6">
    <mergeCell ref="G1:I1"/>
    <mergeCell ref="F2:J2"/>
    <mergeCell ref="F4:K15"/>
    <mergeCell ref="A18:D18"/>
    <mergeCell ref="C21:K22"/>
    <mergeCell ref="C25:D25"/>
    <mergeCell ref="F25:G25"/>
    <mergeCell ref="I25:J25"/>
    <mergeCell ref="L25:M25"/>
    <mergeCell ref="O25:P25"/>
    <mergeCell ref="A46:D46"/>
    <mergeCell ref="C49:K50"/>
    <mergeCell ref="C53:D53"/>
    <mergeCell ref="F53:G53"/>
    <mergeCell ref="I53:J53"/>
    <mergeCell ref="L53:M53"/>
    <mergeCell ref="O53:P53"/>
    <mergeCell ref="H61:K73"/>
    <mergeCell ref="A75:D75"/>
    <mergeCell ref="C78:K79"/>
    <mergeCell ref="C82:D82"/>
    <mergeCell ref="F82:G82"/>
    <mergeCell ref="I82:J82"/>
    <mergeCell ref="L82:M82"/>
    <mergeCell ref="O82:P82"/>
    <mergeCell ref="H91:K10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7.15"/>
    <col collapsed="false" customWidth="true" hidden="false" outlineLevel="0" max="2" min="2" style="0" width="16.57"/>
    <col collapsed="false" customWidth="true" hidden="false" outlineLevel="0" max="3" min="3" style="0" width="35.71"/>
    <col collapsed="false" customWidth="true" hidden="false" outlineLevel="0" max="4" min="4" style="0" width="20.71"/>
    <col collapsed="false" customWidth="true" hidden="false" outlineLevel="0" max="5" min="5" style="0" width="19.14"/>
    <col collapsed="false" customWidth="true" hidden="false" outlineLevel="0" max="6" min="6" style="0" width="26.57"/>
    <col collapsed="false" customWidth="true" hidden="false" outlineLevel="0" max="9" min="7" style="0" width="18.71"/>
    <col collapsed="false" customWidth="true" hidden="false" outlineLevel="0" max="10" min="10" style="0" width="23.57"/>
    <col collapsed="false" customWidth="true" hidden="false" outlineLevel="0" max="26" min="11" style="0" width="18.71"/>
  </cols>
  <sheetData>
    <row r="1" customFormat="false" ht="13.5" hidden="false" customHeight="true" outlineLevel="0" collapsed="false">
      <c r="A1" s="30"/>
      <c r="B1" s="30"/>
      <c r="C1" s="30"/>
      <c r="D1" s="30"/>
      <c r="E1" s="30"/>
      <c r="F1" s="31"/>
      <c r="G1" s="32" t="s">
        <v>113</v>
      </c>
      <c r="H1" s="32"/>
      <c r="I1" s="32"/>
      <c r="J1" s="31"/>
      <c r="K1" s="31"/>
      <c r="L1" s="31"/>
      <c r="M1" s="33"/>
      <c r="N1" s="33"/>
      <c r="O1" s="33"/>
      <c r="P1" s="33"/>
      <c r="Q1" s="30"/>
      <c r="R1" s="30"/>
      <c r="S1" s="30"/>
      <c r="T1" s="30"/>
      <c r="U1" s="30"/>
      <c r="V1" s="30"/>
      <c r="W1" s="30"/>
      <c r="X1" s="30"/>
      <c r="Y1" s="30"/>
      <c r="Z1" s="30"/>
    </row>
    <row r="2" customFormat="false" ht="54.75" hidden="false" customHeight="true" outlineLevel="0" collapsed="false">
      <c r="A2" s="30"/>
      <c r="B2" s="30"/>
      <c r="C2" s="34"/>
      <c r="D2" s="34"/>
      <c r="E2" s="34"/>
      <c r="F2" s="35" t="s">
        <v>114</v>
      </c>
      <c r="G2" s="35"/>
      <c r="H2" s="35"/>
      <c r="I2" s="35"/>
      <c r="J2" s="35"/>
      <c r="K2" s="34"/>
      <c r="L2" s="34"/>
      <c r="M2" s="92"/>
      <c r="N2" s="33"/>
      <c r="O2" s="33"/>
      <c r="P2" s="33"/>
      <c r="Q2" s="30"/>
      <c r="R2" s="30"/>
      <c r="S2" s="30"/>
      <c r="T2" s="30"/>
      <c r="U2" s="30"/>
      <c r="V2" s="30"/>
      <c r="W2" s="30"/>
      <c r="X2" s="30"/>
      <c r="Y2" s="30"/>
      <c r="Z2" s="30"/>
    </row>
    <row r="3" customFormat="false" ht="23.25" hidden="false" customHeight="true" outlineLevel="0" collapsed="false">
      <c r="A3" s="36"/>
      <c r="B3" s="36"/>
      <c r="C3" s="36"/>
      <c r="D3" s="36"/>
      <c r="E3" s="30"/>
      <c r="F3" s="30"/>
      <c r="G3" s="37"/>
      <c r="H3" s="37"/>
      <c r="I3" s="37"/>
      <c r="J3" s="37"/>
      <c r="K3" s="30"/>
      <c r="L3" s="30"/>
      <c r="M3" s="30"/>
      <c r="N3" s="30"/>
      <c r="O3" s="30"/>
      <c r="P3" s="30"/>
      <c r="Q3" s="30"/>
      <c r="R3" s="30"/>
      <c r="S3" s="30"/>
      <c r="T3" s="30"/>
      <c r="U3" s="30"/>
      <c r="V3" s="30"/>
      <c r="W3" s="30"/>
      <c r="X3" s="30"/>
      <c r="Y3" s="30"/>
      <c r="Z3" s="30"/>
    </row>
    <row r="4" customFormat="false" ht="16.5" hidden="false" customHeight="true" outlineLevel="0" collapsed="false">
      <c r="A4" s="36"/>
      <c r="B4" s="36"/>
      <c r="C4" s="36"/>
      <c r="D4" s="36"/>
      <c r="E4" s="30"/>
      <c r="F4" s="93" t="s">
        <v>81</v>
      </c>
      <c r="G4" s="93"/>
      <c r="H4" s="93"/>
      <c r="I4" s="93"/>
      <c r="J4" s="93"/>
      <c r="K4" s="93"/>
      <c r="L4" s="93"/>
      <c r="M4" s="39"/>
      <c r="N4" s="30"/>
      <c r="O4" s="30"/>
      <c r="P4" s="30"/>
      <c r="Q4" s="39"/>
      <c r="R4" s="30"/>
      <c r="S4" s="30"/>
      <c r="T4" s="30"/>
      <c r="U4" s="39"/>
      <c r="V4" s="30"/>
      <c r="W4" s="30"/>
      <c r="X4" s="30"/>
      <c r="Y4" s="30"/>
      <c r="Z4" s="30"/>
    </row>
    <row r="5" customFormat="false" ht="21" hidden="false" customHeight="true" outlineLevel="0" collapsed="false">
      <c r="A5" s="36"/>
      <c r="B5" s="36"/>
      <c r="C5" s="36"/>
      <c r="D5" s="36"/>
      <c r="E5" s="30"/>
      <c r="F5" s="93"/>
      <c r="G5" s="93"/>
      <c r="H5" s="93"/>
      <c r="I5" s="93"/>
      <c r="J5" s="93"/>
      <c r="K5" s="93"/>
      <c r="L5" s="93"/>
      <c r="M5" s="41"/>
      <c r="N5" s="30"/>
      <c r="O5" s="40"/>
      <c r="P5" s="41"/>
      <c r="Q5" s="41"/>
      <c r="R5" s="42"/>
      <c r="S5" s="40"/>
      <c r="T5" s="41"/>
      <c r="U5" s="41"/>
      <c r="V5" s="42"/>
      <c r="W5" s="30"/>
      <c r="X5" s="30"/>
      <c r="Y5" s="30"/>
      <c r="Z5" s="30"/>
    </row>
    <row r="6" customFormat="false" ht="21" hidden="false" customHeight="true" outlineLevel="0" collapsed="false">
      <c r="A6" s="36"/>
      <c r="B6" s="36"/>
      <c r="C6" s="36"/>
      <c r="D6" s="36"/>
      <c r="E6" s="30"/>
      <c r="F6" s="93"/>
      <c r="G6" s="93"/>
      <c r="H6" s="93"/>
      <c r="I6" s="93"/>
      <c r="J6" s="93"/>
      <c r="K6" s="93"/>
      <c r="L6" s="93"/>
      <c r="M6" s="41"/>
      <c r="N6" s="30"/>
      <c r="O6" s="40"/>
      <c r="P6" s="41"/>
      <c r="Q6" s="41"/>
      <c r="R6" s="42"/>
      <c r="S6" s="40"/>
      <c r="T6" s="41"/>
      <c r="U6" s="41"/>
      <c r="V6" s="42"/>
      <c r="W6" s="30"/>
      <c r="X6" s="30"/>
      <c r="Y6" s="30"/>
      <c r="Z6" s="30"/>
    </row>
    <row r="7" customFormat="false" ht="21" hidden="false" customHeight="true" outlineLevel="0" collapsed="false">
      <c r="A7" s="36"/>
      <c r="B7" s="36"/>
      <c r="C7" s="36"/>
      <c r="D7" s="36"/>
      <c r="E7" s="30"/>
      <c r="F7" s="93"/>
      <c r="G7" s="93"/>
      <c r="H7" s="93"/>
      <c r="I7" s="93"/>
      <c r="J7" s="93"/>
      <c r="K7" s="93"/>
      <c r="L7" s="93"/>
      <c r="M7" s="41"/>
      <c r="N7" s="30"/>
      <c r="O7" s="40"/>
      <c r="P7" s="41"/>
      <c r="Q7" s="41"/>
      <c r="R7" s="42"/>
      <c r="S7" s="40"/>
      <c r="T7" s="41"/>
      <c r="U7" s="41"/>
      <c r="V7" s="42"/>
      <c r="W7" s="30"/>
      <c r="X7" s="30"/>
      <c r="Y7" s="30"/>
      <c r="Z7" s="30"/>
    </row>
    <row r="8" customFormat="false" ht="21" hidden="false" customHeight="true" outlineLevel="0" collapsed="false">
      <c r="A8" s="36"/>
      <c r="B8" s="36"/>
      <c r="C8" s="36"/>
      <c r="D8" s="36"/>
      <c r="E8" s="30"/>
      <c r="F8" s="93"/>
      <c r="G8" s="93"/>
      <c r="H8" s="93"/>
      <c r="I8" s="93"/>
      <c r="J8" s="93"/>
      <c r="K8" s="93"/>
      <c r="L8" s="93"/>
      <c r="M8" s="41"/>
      <c r="N8" s="30"/>
      <c r="O8" s="40"/>
      <c r="P8" s="41"/>
      <c r="Q8" s="41"/>
      <c r="R8" s="42"/>
      <c r="S8" s="40"/>
      <c r="T8" s="41"/>
      <c r="U8" s="41"/>
      <c r="V8" s="42"/>
      <c r="W8" s="30"/>
      <c r="X8" s="30"/>
      <c r="Y8" s="30"/>
      <c r="Z8" s="30"/>
    </row>
    <row r="9" customFormat="false" ht="21" hidden="false" customHeight="true" outlineLevel="0" collapsed="false">
      <c r="A9" s="36"/>
      <c r="B9" s="36"/>
      <c r="C9" s="36"/>
      <c r="D9" s="36"/>
      <c r="E9" s="30"/>
      <c r="F9" s="93"/>
      <c r="G9" s="93"/>
      <c r="H9" s="93"/>
      <c r="I9" s="93"/>
      <c r="J9" s="93"/>
      <c r="K9" s="93"/>
      <c r="L9" s="93"/>
      <c r="M9" s="30"/>
      <c r="N9" s="30"/>
      <c r="O9" s="30"/>
      <c r="P9" s="30"/>
      <c r="Q9" s="30"/>
      <c r="R9" s="30"/>
      <c r="S9" s="30"/>
      <c r="T9" s="30"/>
      <c r="U9" s="30"/>
      <c r="V9" s="30"/>
      <c r="W9" s="30"/>
      <c r="X9" s="30"/>
      <c r="Y9" s="30"/>
      <c r="Z9" s="30"/>
    </row>
    <row r="10" customFormat="false" ht="20.25" hidden="false" customHeight="true" outlineLevel="0" collapsed="false">
      <c r="A10" s="36"/>
      <c r="B10" s="36"/>
      <c r="C10" s="36"/>
      <c r="D10" s="36"/>
      <c r="E10" s="30"/>
      <c r="F10" s="93"/>
      <c r="G10" s="93"/>
      <c r="H10" s="93"/>
      <c r="I10" s="93"/>
      <c r="J10" s="93"/>
      <c r="K10" s="93"/>
      <c r="L10" s="93"/>
      <c r="M10" s="30"/>
      <c r="N10" s="30"/>
      <c r="O10" s="30"/>
      <c r="P10" s="30"/>
      <c r="Q10" s="30"/>
      <c r="R10" s="30"/>
      <c r="S10" s="30"/>
      <c r="T10" s="30"/>
      <c r="U10" s="30"/>
      <c r="V10" s="30"/>
      <c r="W10" s="30"/>
      <c r="X10" s="30"/>
      <c r="Y10" s="30"/>
      <c r="Z10" s="30"/>
    </row>
    <row r="11" customFormat="false" ht="21" hidden="false" customHeight="true" outlineLevel="0" collapsed="false">
      <c r="A11" s="36"/>
      <c r="B11" s="36"/>
      <c r="C11" s="36"/>
      <c r="D11" s="36"/>
      <c r="E11" s="30"/>
      <c r="F11" s="93"/>
      <c r="G11" s="93"/>
      <c r="H11" s="93"/>
      <c r="I11" s="93"/>
      <c r="J11" s="93"/>
      <c r="K11" s="93"/>
      <c r="L11" s="93"/>
      <c r="M11" s="30"/>
      <c r="N11" s="30"/>
      <c r="O11" s="30"/>
      <c r="P11" s="30"/>
      <c r="Q11" s="30"/>
      <c r="R11" s="30"/>
      <c r="S11" s="30"/>
      <c r="T11" s="30"/>
      <c r="U11" s="30"/>
      <c r="V11" s="30"/>
      <c r="W11" s="30"/>
      <c r="X11" s="30"/>
      <c r="Y11" s="30"/>
      <c r="Z11" s="30"/>
    </row>
    <row r="12" customFormat="false" ht="21" hidden="false" customHeight="true" outlineLevel="0" collapsed="false">
      <c r="A12" s="36"/>
      <c r="B12" s="36"/>
      <c r="C12" s="36"/>
      <c r="D12" s="36"/>
      <c r="E12" s="30"/>
      <c r="F12" s="93"/>
      <c r="G12" s="93"/>
      <c r="H12" s="93"/>
      <c r="I12" s="93"/>
      <c r="J12" s="93"/>
      <c r="K12" s="93"/>
      <c r="L12" s="93"/>
      <c r="M12" s="30"/>
      <c r="N12" s="30"/>
      <c r="O12" s="30"/>
      <c r="P12" s="30"/>
      <c r="Q12" s="30"/>
      <c r="R12" s="30"/>
      <c r="S12" s="30"/>
      <c r="T12" s="30"/>
      <c r="U12" s="30"/>
      <c r="V12" s="30"/>
      <c r="W12" s="30"/>
      <c r="X12" s="30"/>
      <c r="Y12" s="30"/>
      <c r="Z12" s="30"/>
    </row>
    <row r="13" customFormat="false" ht="21" hidden="false" customHeight="true" outlineLevel="0" collapsed="false">
      <c r="A13" s="36"/>
      <c r="B13" s="36"/>
      <c r="C13" s="36"/>
      <c r="D13" s="36"/>
      <c r="E13" s="30"/>
      <c r="F13" s="93"/>
      <c r="G13" s="93"/>
      <c r="H13" s="93"/>
      <c r="I13" s="93"/>
      <c r="J13" s="93"/>
      <c r="K13" s="93"/>
      <c r="L13" s="93"/>
      <c r="M13" s="30"/>
      <c r="N13" s="30"/>
      <c r="O13" s="30"/>
      <c r="P13" s="30"/>
      <c r="Q13" s="30"/>
      <c r="R13" s="30"/>
      <c r="S13" s="30"/>
      <c r="T13" s="30"/>
      <c r="U13" s="30"/>
      <c r="V13" s="30"/>
      <c r="W13" s="30"/>
      <c r="X13" s="30"/>
      <c r="Y13" s="30"/>
      <c r="Z13" s="30"/>
    </row>
    <row r="14" customFormat="false" ht="21" hidden="false" customHeight="true" outlineLevel="0" collapsed="false">
      <c r="A14" s="30"/>
      <c r="B14" s="37"/>
      <c r="C14" s="40"/>
      <c r="D14" s="39"/>
      <c r="E14" s="30"/>
      <c r="F14" s="93"/>
      <c r="G14" s="93"/>
      <c r="H14" s="93"/>
      <c r="I14" s="93"/>
      <c r="J14" s="93"/>
      <c r="K14" s="93"/>
      <c r="L14" s="93"/>
      <c r="M14" s="30"/>
      <c r="N14" s="30"/>
      <c r="O14" s="30"/>
      <c r="P14" s="30"/>
      <c r="Q14" s="30"/>
      <c r="R14" s="30"/>
      <c r="S14" s="30"/>
      <c r="T14" s="30"/>
      <c r="U14" s="30"/>
      <c r="V14" s="30"/>
      <c r="W14" s="30"/>
      <c r="X14" s="30"/>
      <c r="Y14" s="30"/>
      <c r="Z14" s="30"/>
    </row>
    <row r="15" customFormat="false" ht="21" hidden="false" customHeight="true" outlineLevel="0" collapsed="false">
      <c r="A15" s="43"/>
      <c r="B15" s="37"/>
      <c r="C15" s="40"/>
      <c r="D15" s="39"/>
      <c r="E15" s="30"/>
      <c r="F15" s="93"/>
      <c r="G15" s="93"/>
      <c r="H15" s="93"/>
      <c r="I15" s="93"/>
      <c r="J15" s="93"/>
      <c r="K15" s="93"/>
      <c r="L15" s="93"/>
      <c r="M15" s="30"/>
      <c r="N15" s="30"/>
      <c r="O15" s="30"/>
      <c r="P15" s="30"/>
      <c r="Q15" s="30"/>
      <c r="R15" s="30"/>
      <c r="S15" s="30"/>
      <c r="T15" s="30"/>
      <c r="U15" s="30"/>
      <c r="V15" s="30"/>
      <c r="W15" s="30"/>
      <c r="X15" s="30"/>
      <c r="Y15" s="30"/>
      <c r="Z15" s="30"/>
    </row>
    <row r="16" customFormat="false" ht="21" hidden="false" customHeight="true" outlineLevel="0" collapsed="false">
      <c r="A16" s="30"/>
      <c r="B16" s="30"/>
      <c r="C16" s="44"/>
      <c r="D16" s="45"/>
      <c r="E16" s="40"/>
      <c r="F16" s="39"/>
      <c r="G16" s="36"/>
      <c r="H16" s="36"/>
      <c r="I16" s="36"/>
      <c r="J16" s="36"/>
      <c r="K16" s="36"/>
      <c r="L16" s="30"/>
      <c r="M16" s="30"/>
      <c r="N16" s="30"/>
      <c r="O16" s="30"/>
      <c r="P16" s="30"/>
      <c r="Q16" s="30"/>
      <c r="R16" s="30"/>
      <c r="S16" s="30"/>
      <c r="T16" s="30"/>
      <c r="U16" s="30"/>
      <c r="V16" s="30"/>
      <c r="W16" s="30"/>
      <c r="X16" s="30"/>
      <c r="Y16" s="30"/>
      <c r="Z16" s="30"/>
    </row>
    <row r="17" customFormat="false" ht="21" hidden="false" customHeight="true" outlineLevel="0" collapsed="false">
      <c r="A17" s="30"/>
      <c r="B17" s="30"/>
      <c r="C17" s="44"/>
      <c r="D17" s="45"/>
      <c r="E17" s="40"/>
      <c r="F17" s="39"/>
      <c r="G17" s="36"/>
      <c r="H17" s="36"/>
      <c r="I17" s="36"/>
      <c r="J17" s="36"/>
      <c r="K17" s="36"/>
      <c r="L17" s="30"/>
      <c r="M17" s="30"/>
      <c r="N17" s="30"/>
      <c r="O17" s="30"/>
      <c r="P17" s="30"/>
      <c r="Q17" s="30"/>
      <c r="R17" s="30"/>
      <c r="S17" s="30"/>
      <c r="T17" s="30"/>
      <c r="U17" s="30"/>
      <c r="V17" s="30"/>
      <c r="W17" s="30"/>
      <c r="X17" s="30"/>
      <c r="Y17" s="30"/>
      <c r="Z17" s="30"/>
    </row>
    <row r="18" customFormat="false" ht="36" hidden="false" customHeight="true" outlineLevel="0" collapsed="false">
      <c r="A18" s="46" t="s">
        <v>115</v>
      </c>
      <c r="B18" s="46"/>
      <c r="C18" s="46"/>
      <c r="D18" s="46"/>
      <c r="E18" s="46" t="n">
        <v>45</v>
      </c>
      <c r="F18" s="39"/>
      <c r="G18" s="36"/>
      <c r="H18" s="36"/>
      <c r="I18" s="36"/>
      <c r="J18" s="36"/>
      <c r="K18" s="36"/>
      <c r="L18" s="30"/>
      <c r="M18" s="30"/>
      <c r="N18" s="30"/>
      <c r="O18" s="30"/>
      <c r="P18" s="30"/>
      <c r="Q18" s="30"/>
      <c r="R18" s="30"/>
      <c r="S18" s="30"/>
      <c r="T18" s="30"/>
      <c r="U18" s="30"/>
      <c r="V18" s="30"/>
      <c r="W18" s="30"/>
      <c r="X18" s="30"/>
      <c r="Y18" s="30"/>
      <c r="Z18" s="30"/>
    </row>
    <row r="19" customFormat="false" ht="44.25" hidden="false" customHeight="true" outlineLevel="0" collapsed="false">
      <c r="A19" s="30"/>
      <c r="B19" s="30"/>
      <c r="C19" s="30"/>
      <c r="D19" s="47" t="s">
        <v>83</v>
      </c>
      <c r="E19" s="48" t="n">
        <f aca="false">RADIANS(E18)</f>
        <v>0.7853981634</v>
      </c>
      <c r="F19" s="39"/>
      <c r="G19" s="36"/>
      <c r="H19" s="36"/>
      <c r="I19" s="36"/>
      <c r="J19" s="36"/>
      <c r="K19" s="36"/>
      <c r="L19" s="30"/>
      <c r="M19" s="30"/>
      <c r="N19" s="30"/>
      <c r="O19" s="30"/>
      <c r="P19" s="30"/>
      <c r="Q19" s="30"/>
      <c r="R19" s="30"/>
      <c r="S19" s="30"/>
      <c r="T19" s="30"/>
      <c r="U19" s="30"/>
      <c r="V19" s="30"/>
      <c r="W19" s="30"/>
      <c r="X19" s="30"/>
      <c r="Y19" s="30"/>
      <c r="Z19" s="30"/>
    </row>
    <row r="20" customFormat="false" ht="21" hidden="false" customHeight="true" outlineLevel="0" collapsed="false">
      <c r="A20" s="30"/>
      <c r="B20" s="30"/>
      <c r="C20" s="44"/>
      <c r="D20" s="45"/>
      <c r="E20" s="40"/>
      <c r="F20" s="39"/>
      <c r="G20" s="36"/>
      <c r="H20" s="36"/>
      <c r="I20" s="36"/>
      <c r="J20" s="36"/>
      <c r="K20" s="36"/>
      <c r="L20" s="30"/>
      <c r="M20" s="30"/>
      <c r="N20" s="30"/>
      <c r="O20" s="30"/>
      <c r="P20" s="30"/>
      <c r="Q20" s="30"/>
      <c r="R20" s="30"/>
      <c r="S20" s="30"/>
      <c r="T20" s="30"/>
      <c r="U20" s="30"/>
      <c r="V20" s="30"/>
      <c r="W20" s="30"/>
      <c r="X20" s="30"/>
      <c r="Y20" s="30"/>
      <c r="Z20" s="30"/>
    </row>
    <row r="21" customFormat="false" ht="21" hidden="false" customHeight="true" outlineLevel="0" collapsed="false">
      <c r="A21" s="30"/>
      <c r="B21" s="30"/>
      <c r="C21" s="49" t="s">
        <v>84</v>
      </c>
      <c r="D21" s="49"/>
      <c r="E21" s="49"/>
      <c r="F21" s="49"/>
      <c r="G21" s="49"/>
      <c r="H21" s="49"/>
      <c r="I21" s="49"/>
      <c r="J21" s="49"/>
      <c r="K21" s="49"/>
      <c r="L21" s="30"/>
      <c r="M21" s="30"/>
      <c r="N21" s="30"/>
      <c r="O21" s="30"/>
      <c r="P21" s="30"/>
      <c r="Q21" s="30"/>
      <c r="R21" s="30"/>
      <c r="S21" s="30"/>
      <c r="T21" s="30"/>
      <c r="U21" s="30"/>
      <c r="V21" s="30"/>
      <c r="W21" s="30"/>
      <c r="X21" s="30"/>
      <c r="Y21" s="30"/>
      <c r="Z21" s="30"/>
    </row>
    <row r="22" customFormat="false" ht="21" hidden="false" customHeight="true" outlineLevel="0" collapsed="false">
      <c r="A22" s="30"/>
      <c r="B22" s="30"/>
      <c r="C22" s="49"/>
      <c r="D22" s="49"/>
      <c r="E22" s="49"/>
      <c r="F22" s="49"/>
      <c r="G22" s="49"/>
      <c r="H22" s="49"/>
      <c r="I22" s="49"/>
      <c r="J22" s="49"/>
      <c r="K22" s="49"/>
      <c r="L22" s="30"/>
      <c r="M22" s="30"/>
      <c r="N22" s="30"/>
      <c r="O22" s="30"/>
      <c r="P22" s="30"/>
      <c r="Q22" s="30"/>
      <c r="R22" s="30"/>
      <c r="S22" s="30"/>
      <c r="T22" s="30"/>
      <c r="U22" s="30"/>
      <c r="V22" s="30"/>
      <c r="W22" s="30"/>
      <c r="X22" s="30"/>
      <c r="Y22" s="30"/>
      <c r="Z22" s="30"/>
    </row>
    <row r="23" customFormat="false" ht="21" hidden="false" customHeight="true" outlineLevel="0" collapsed="false">
      <c r="A23" s="30"/>
      <c r="B23" s="30"/>
      <c r="C23" s="30"/>
      <c r="D23" s="42"/>
      <c r="E23" s="42"/>
      <c r="F23" s="39"/>
      <c r="G23" s="36"/>
      <c r="H23" s="36"/>
      <c r="I23" s="36"/>
      <c r="J23" s="36"/>
      <c r="K23" s="36"/>
      <c r="L23" s="30"/>
      <c r="M23" s="30"/>
      <c r="N23" s="30"/>
      <c r="O23" s="30"/>
      <c r="P23" s="30"/>
      <c r="Q23" s="30"/>
      <c r="R23" s="30"/>
      <c r="S23" s="30"/>
      <c r="T23" s="30"/>
      <c r="U23" s="30"/>
      <c r="V23" s="30"/>
      <c r="W23" s="30"/>
      <c r="X23" s="30"/>
      <c r="Y23" s="30"/>
      <c r="Z23" s="30"/>
    </row>
    <row r="24" customFormat="false" ht="21" hidden="false" customHeight="true" outlineLevel="0" collapsed="false">
      <c r="A24" s="30"/>
      <c r="B24" s="30"/>
      <c r="C24" s="30"/>
      <c r="D24" s="42"/>
      <c r="E24" s="42"/>
      <c r="F24" s="39"/>
      <c r="G24" s="36"/>
      <c r="H24" s="36"/>
      <c r="I24" s="36"/>
      <c r="J24" s="36"/>
      <c r="K24" s="36"/>
      <c r="L24" s="30"/>
      <c r="M24" s="30"/>
      <c r="N24" s="30"/>
      <c r="O24" s="30"/>
      <c r="P24" s="30"/>
      <c r="Q24" s="30"/>
      <c r="R24" s="30"/>
      <c r="S24" s="30"/>
      <c r="T24" s="30"/>
      <c r="U24" s="30"/>
      <c r="V24" s="30"/>
      <c r="W24" s="30"/>
      <c r="X24" s="30"/>
      <c r="Y24" s="30"/>
      <c r="Z24" s="30"/>
    </row>
    <row r="25" customFormat="false" ht="21" hidden="false" customHeight="true" outlineLevel="0" collapsed="false">
      <c r="A25" s="30"/>
      <c r="B25" s="30"/>
      <c r="C25" s="50" t="s">
        <v>86</v>
      </c>
      <c r="D25" s="50"/>
      <c r="E25" s="36"/>
      <c r="F25" s="50" t="s">
        <v>87</v>
      </c>
      <c r="G25" s="50"/>
      <c r="H25" s="36"/>
      <c r="I25" s="62" t="s">
        <v>88</v>
      </c>
      <c r="J25" s="62"/>
      <c r="K25" s="36"/>
      <c r="L25" s="50" t="s">
        <v>89</v>
      </c>
      <c r="M25" s="50"/>
      <c r="O25" s="51" t="s">
        <v>90</v>
      </c>
      <c r="P25" s="51"/>
      <c r="R25" s="30"/>
      <c r="S25" s="30"/>
      <c r="T25" s="30"/>
      <c r="U25" s="30"/>
      <c r="V25" s="30"/>
      <c r="W25" s="30"/>
      <c r="X25" s="30"/>
    </row>
    <row r="26" customFormat="false" ht="21" hidden="false" customHeight="true" outlineLevel="0" collapsed="false">
      <c r="A26" s="52"/>
      <c r="B26" s="53" t="s">
        <v>91</v>
      </c>
      <c r="C26" s="54" t="s">
        <v>92</v>
      </c>
      <c r="D26" s="55" t="n">
        <v>0</v>
      </c>
      <c r="E26" s="52"/>
      <c r="F26" s="56" t="s">
        <v>92</v>
      </c>
      <c r="G26" s="55"/>
      <c r="H26" s="52"/>
      <c r="I26" s="57" t="s">
        <v>93</v>
      </c>
      <c r="J26" s="58"/>
      <c r="K26" s="52"/>
      <c r="L26" s="56" t="s">
        <v>92</v>
      </c>
      <c r="M26" s="55"/>
      <c r="O26" s="57" t="s">
        <v>94</v>
      </c>
      <c r="P26" s="58" t="n">
        <v>0</v>
      </c>
      <c r="R26" s="52"/>
      <c r="S26" s="52"/>
      <c r="T26" s="52"/>
      <c r="U26" s="52"/>
      <c r="V26" s="52"/>
      <c r="W26" s="52"/>
      <c r="X26" s="52"/>
    </row>
    <row r="27" customFormat="false" ht="21" hidden="false" customHeight="true" outlineLevel="0" collapsed="false">
      <c r="A27" s="30"/>
      <c r="B27" s="59"/>
      <c r="C27" s="60"/>
      <c r="D27" s="61" t="s">
        <v>95</v>
      </c>
      <c r="E27" s="30"/>
      <c r="F27" s="60"/>
      <c r="G27" s="61" t="s">
        <v>95</v>
      </c>
      <c r="H27" s="36"/>
      <c r="I27" s="62"/>
      <c r="J27" s="63" t="s">
        <v>95</v>
      </c>
      <c r="K27" s="36"/>
      <c r="L27" s="60"/>
      <c r="M27" s="61" t="s">
        <v>95</v>
      </c>
      <c r="O27" s="62"/>
      <c r="P27" s="63" t="s">
        <v>93</v>
      </c>
      <c r="R27" s="30"/>
      <c r="S27" s="30"/>
      <c r="T27" s="30"/>
      <c r="U27" s="30"/>
      <c r="V27" s="30"/>
      <c r="W27" s="30"/>
      <c r="X27" s="30"/>
    </row>
    <row r="28" customFormat="false" ht="21" hidden="false" customHeight="true" outlineLevel="0" collapsed="false">
      <c r="A28" s="64" t="s">
        <v>96</v>
      </c>
      <c r="B28" s="65"/>
      <c r="C28" s="30"/>
      <c r="D28" s="66" t="n">
        <v>0</v>
      </c>
      <c r="E28" s="30"/>
      <c r="F28" s="30"/>
      <c r="G28" s="66"/>
      <c r="H28" s="36"/>
      <c r="I28" s="67"/>
      <c r="J28" s="68"/>
      <c r="K28" s="30"/>
      <c r="L28" s="30"/>
      <c r="M28" s="66"/>
      <c r="O28" s="67"/>
      <c r="P28" s="68"/>
      <c r="R28" s="30"/>
      <c r="S28" s="30"/>
      <c r="T28" s="30"/>
      <c r="U28" s="30"/>
      <c r="V28" s="30"/>
      <c r="W28" s="30"/>
      <c r="X28" s="30"/>
    </row>
    <row r="29" customFormat="false" ht="21" hidden="false" customHeight="true" outlineLevel="0" collapsed="false">
      <c r="A29" s="64" t="s">
        <v>97</v>
      </c>
      <c r="B29" s="69"/>
      <c r="C29" s="30"/>
      <c r="D29" s="66" t="n">
        <v>0</v>
      </c>
      <c r="E29" s="30"/>
      <c r="F29" s="30"/>
      <c r="G29" s="66"/>
      <c r="H29" s="36"/>
      <c r="I29" s="67"/>
      <c r="J29" s="68"/>
      <c r="K29" s="30"/>
      <c r="L29" s="30"/>
      <c r="M29" s="66"/>
      <c r="O29" s="67"/>
      <c r="P29" s="68"/>
      <c r="R29" s="30"/>
      <c r="S29" s="30"/>
      <c r="T29" s="30"/>
      <c r="U29" s="30"/>
      <c r="V29" s="30"/>
      <c r="W29" s="30"/>
      <c r="X29" s="30"/>
    </row>
    <row r="30" customFormat="false" ht="21" hidden="false" customHeight="true" outlineLevel="0" collapsed="false">
      <c r="A30" s="70" t="s">
        <v>98</v>
      </c>
      <c r="B30" s="71"/>
      <c r="C30" s="72" t="s">
        <v>99</v>
      </c>
      <c r="D30" s="73"/>
      <c r="E30" s="30"/>
      <c r="F30" s="74" t="s">
        <v>100</v>
      </c>
      <c r="G30" s="73"/>
      <c r="H30" s="30"/>
      <c r="I30" s="75" t="s">
        <v>100</v>
      </c>
      <c r="J30" s="76"/>
      <c r="K30" s="30"/>
      <c r="L30" s="74" t="s">
        <v>100</v>
      </c>
      <c r="M30" s="73"/>
      <c r="O30" s="75" t="s">
        <v>100</v>
      </c>
      <c r="P30" s="76"/>
      <c r="R30" s="30"/>
      <c r="S30" s="30"/>
      <c r="T30" s="30"/>
      <c r="U30" s="30"/>
      <c r="V30" s="30"/>
      <c r="W30" s="30"/>
      <c r="X30" s="30"/>
    </row>
    <row r="31" customFormat="false" ht="21" hidden="false" customHeight="true" outlineLevel="0" collapsed="false">
      <c r="A31" s="77" t="s">
        <v>101</v>
      </c>
      <c r="B31" s="78"/>
      <c r="C31" s="79" t="s">
        <v>102</v>
      </c>
      <c r="D31" s="80"/>
      <c r="E31" s="30"/>
      <c r="F31" s="81" t="s">
        <v>102</v>
      </c>
      <c r="G31" s="80"/>
      <c r="H31" s="30"/>
      <c r="I31" s="82" t="s">
        <v>102</v>
      </c>
      <c r="J31" s="83"/>
      <c r="K31" s="30"/>
      <c r="L31" s="81" t="s">
        <v>102</v>
      </c>
      <c r="M31" s="80"/>
      <c r="O31" s="82" t="s">
        <v>102</v>
      </c>
      <c r="P31" s="83"/>
      <c r="R31" s="30"/>
      <c r="S31" s="30"/>
      <c r="T31" s="30"/>
      <c r="U31" s="30"/>
      <c r="V31" s="30"/>
      <c r="W31" s="30"/>
      <c r="X31" s="30"/>
    </row>
    <row r="32" customFormat="false" ht="21" hidden="false" customHeight="true" outlineLevel="0" collapsed="false">
      <c r="A32" s="30"/>
      <c r="B32" s="30"/>
      <c r="C32" s="30"/>
      <c r="D32" s="30"/>
      <c r="E32" s="30"/>
      <c r="F32" s="30"/>
      <c r="G32" s="84"/>
      <c r="H32" s="84"/>
      <c r="I32" s="84"/>
      <c r="J32" s="84"/>
      <c r="K32" s="30"/>
      <c r="L32" s="30"/>
      <c r="M32" s="30"/>
      <c r="N32" s="30"/>
      <c r="O32" s="30"/>
      <c r="P32" s="30"/>
      <c r="Q32" s="30"/>
      <c r="R32" s="30"/>
      <c r="S32" s="30"/>
      <c r="T32" s="30"/>
      <c r="U32" s="30"/>
      <c r="V32" s="30"/>
      <c r="W32" s="30"/>
      <c r="X32" s="30"/>
      <c r="Y32" s="30"/>
      <c r="Z32" s="30"/>
    </row>
    <row r="33" customFormat="false" ht="21" hidden="false" customHeight="true" outlineLevel="0" collapsed="false">
      <c r="A33" s="30"/>
      <c r="B33" s="30"/>
      <c r="C33" s="30"/>
      <c r="D33" s="30"/>
      <c r="E33" s="30"/>
      <c r="F33" s="30"/>
      <c r="G33" s="30"/>
      <c r="H33" s="91" t="s">
        <v>103</v>
      </c>
      <c r="I33" s="91"/>
      <c r="J33" s="91"/>
      <c r="K33" s="91"/>
      <c r="L33" s="91"/>
      <c r="M33" s="30"/>
      <c r="N33" s="30"/>
      <c r="O33" s="30"/>
      <c r="P33" s="30"/>
      <c r="Q33" s="30"/>
      <c r="R33" s="30"/>
      <c r="S33" s="30"/>
      <c r="T33" s="30"/>
      <c r="U33" s="30"/>
      <c r="V33" s="30"/>
      <c r="W33" s="30"/>
      <c r="X33" s="30"/>
      <c r="Y33" s="30"/>
      <c r="Z33" s="30"/>
    </row>
    <row r="34" customFormat="false" ht="21" hidden="false" customHeight="true" outlineLevel="0" collapsed="false">
      <c r="A34" s="30"/>
      <c r="B34" s="30"/>
      <c r="C34" s="30"/>
      <c r="D34" s="30"/>
      <c r="E34" s="30"/>
      <c r="F34" s="30"/>
      <c r="G34" s="30"/>
      <c r="H34" s="91"/>
      <c r="I34" s="91"/>
      <c r="J34" s="91"/>
      <c r="K34" s="91"/>
      <c r="L34" s="91"/>
      <c r="M34" s="30"/>
      <c r="N34" s="30"/>
      <c r="O34" s="30"/>
      <c r="P34" s="30"/>
      <c r="Q34" s="30"/>
      <c r="R34" s="30"/>
      <c r="S34" s="30"/>
      <c r="T34" s="30"/>
      <c r="U34" s="30"/>
      <c r="V34" s="30"/>
      <c r="W34" s="30"/>
      <c r="X34" s="30"/>
      <c r="Y34" s="30"/>
      <c r="Z34" s="30"/>
    </row>
    <row r="35" customFormat="false" ht="21" hidden="false" customHeight="true" outlineLevel="0" collapsed="false">
      <c r="A35" s="30"/>
      <c r="B35" s="30"/>
      <c r="C35" s="30"/>
      <c r="D35" s="30"/>
      <c r="E35" s="30"/>
      <c r="F35" s="30"/>
      <c r="G35" s="30"/>
      <c r="H35" s="91"/>
      <c r="I35" s="91"/>
      <c r="J35" s="91"/>
      <c r="K35" s="91"/>
      <c r="L35" s="91"/>
      <c r="M35" s="30"/>
      <c r="N35" s="30"/>
      <c r="O35" s="30"/>
      <c r="P35" s="30"/>
      <c r="Q35" s="30"/>
      <c r="R35" s="30"/>
      <c r="S35" s="30"/>
      <c r="T35" s="30"/>
      <c r="U35" s="30"/>
      <c r="V35" s="30"/>
      <c r="W35" s="30"/>
      <c r="X35" s="30"/>
      <c r="Y35" s="30"/>
      <c r="Z35" s="30"/>
    </row>
    <row r="36" customFormat="false" ht="21" hidden="false" customHeight="true" outlineLevel="0" collapsed="false">
      <c r="A36" s="30"/>
      <c r="B36" s="30"/>
      <c r="C36" s="30"/>
      <c r="D36" s="30"/>
      <c r="E36" s="30"/>
      <c r="F36" s="30"/>
      <c r="G36" s="30"/>
      <c r="H36" s="91"/>
      <c r="I36" s="91"/>
      <c r="J36" s="91"/>
      <c r="K36" s="91"/>
      <c r="L36" s="91"/>
      <c r="M36" s="30"/>
      <c r="N36" s="30"/>
      <c r="O36" s="30"/>
      <c r="P36" s="30"/>
      <c r="Q36" s="30"/>
      <c r="R36" s="30"/>
      <c r="S36" s="30"/>
      <c r="T36" s="30"/>
      <c r="U36" s="30"/>
      <c r="V36" s="30"/>
      <c r="W36" s="30"/>
      <c r="X36" s="30"/>
      <c r="Y36" s="30"/>
      <c r="Z36" s="30"/>
    </row>
    <row r="37" customFormat="false" ht="21" hidden="false" customHeight="true" outlineLevel="0" collapsed="false">
      <c r="A37" s="30"/>
      <c r="B37" s="30"/>
      <c r="C37" s="30"/>
      <c r="D37" s="30"/>
      <c r="E37" s="30"/>
      <c r="F37" s="30"/>
      <c r="G37" s="30"/>
      <c r="H37" s="91"/>
      <c r="I37" s="91"/>
      <c r="J37" s="91"/>
      <c r="K37" s="91"/>
      <c r="L37" s="91"/>
      <c r="M37" s="30"/>
      <c r="N37" s="30"/>
      <c r="O37" s="30"/>
      <c r="P37" s="30"/>
      <c r="Q37" s="30"/>
      <c r="R37" s="30"/>
      <c r="S37" s="30"/>
      <c r="T37" s="30"/>
      <c r="U37" s="30"/>
      <c r="V37" s="30"/>
      <c r="W37" s="30"/>
      <c r="X37" s="30"/>
      <c r="Y37" s="30"/>
      <c r="Z37" s="30"/>
    </row>
    <row r="38" customFormat="false" ht="21" hidden="false" customHeight="true" outlineLevel="0" collapsed="false">
      <c r="A38" s="30"/>
      <c r="B38" s="85" t="s">
        <v>93</v>
      </c>
      <c r="C38" s="86" t="s">
        <v>95</v>
      </c>
      <c r="D38" s="87" t="s">
        <v>104</v>
      </c>
      <c r="E38" s="88" t="s">
        <v>105</v>
      </c>
      <c r="F38" s="89" t="s">
        <v>106</v>
      </c>
      <c r="G38" s="89" t="s">
        <v>107</v>
      </c>
      <c r="H38" s="91"/>
      <c r="I38" s="91"/>
      <c r="J38" s="91"/>
      <c r="K38" s="91"/>
      <c r="L38" s="91"/>
      <c r="M38" s="30"/>
      <c r="N38" s="30"/>
      <c r="O38" s="30"/>
      <c r="P38" s="30"/>
      <c r="Q38" s="30"/>
      <c r="R38" s="30"/>
      <c r="S38" s="30"/>
      <c r="T38" s="30"/>
      <c r="U38" s="30"/>
      <c r="V38" s="30"/>
      <c r="W38" s="30"/>
      <c r="X38" s="30"/>
      <c r="Y38" s="30"/>
      <c r="Z38" s="30"/>
    </row>
    <row r="39" customFormat="false" ht="21" hidden="false" customHeight="true" outlineLevel="0" collapsed="false">
      <c r="A39" s="90" t="s">
        <v>108</v>
      </c>
      <c r="B39" s="65"/>
      <c r="C39" s="65"/>
      <c r="D39" s="65"/>
      <c r="E39" s="65"/>
      <c r="F39" s="59" t="n">
        <v>0</v>
      </c>
      <c r="G39" s="59" t="n">
        <v>0</v>
      </c>
      <c r="H39" s="91"/>
      <c r="I39" s="91"/>
      <c r="J39" s="91"/>
      <c r="K39" s="91"/>
      <c r="L39" s="91"/>
      <c r="M39" s="30"/>
      <c r="N39" s="30"/>
      <c r="O39" s="30"/>
      <c r="P39" s="30"/>
      <c r="Q39" s="30"/>
      <c r="R39" s="30"/>
      <c r="S39" s="30"/>
      <c r="T39" s="30"/>
      <c r="U39" s="30"/>
      <c r="V39" s="30"/>
      <c r="W39" s="30"/>
      <c r="X39" s="30"/>
      <c r="Y39" s="30"/>
      <c r="Z39" s="30"/>
    </row>
    <row r="40" customFormat="false" ht="21" hidden="false" customHeight="true" outlineLevel="0" collapsed="false">
      <c r="A40" s="30" t="s">
        <v>109</v>
      </c>
      <c r="B40" s="66"/>
      <c r="C40" s="66"/>
      <c r="D40" s="66"/>
      <c r="E40" s="66"/>
      <c r="F40" s="66" t="n">
        <f aca="false">B40</f>
        <v>0</v>
      </c>
      <c r="G40" s="66" t="e">
        <f aca="false">ROUND(F40*TAN($E$19)-(0.5*9.8*(F40/($B$30*COS($E$19)))^2),3)</f>
        <v>#DIV/0!</v>
      </c>
      <c r="H40" s="91"/>
      <c r="I40" s="91"/>
      <c r="J40" s="91"/>
      <c r="K40" s="91"/>
      <c r="L40" s="91"/>
      <c r="M40" s="30"/>
      <c r="N40" s="30"/>
      <c r="O40" s="30"/>
      <c r="P40" s="30"/>
      <c r="Q40" s="30"/>
      <c r="R40" s="30"/>
      <c r="S40" s="30"/>
      <c r="T40" s="30"/>
      <c r="U40" s="30"/>
      <c r="V40" s="30"/>
      <c r="W40" s="30"/>
      <c r="X40" s="30"/>
      <c r="Y40" s="30"/>
      <c r="Z40" s="30"/>
    </row>
    <row r="41" customFormat="false" ht="21" hidden="false" customHeight="true" outlineLevel="0" collapsed="false">
      <c r="A41" s="67" t="s">
        <v>110</v>
      </c>
      <c r="B41" s="68"/>
      <c r="C41" s="68"/>
      <c r="D41" s="68"/>
      <c r="E41" s="68"/>
      <c r="F41" s="68" t="n">
        <f aca="false">ROUND((B32^2)*SIN(2*E21)/(2*9.8),3)</f>
        <v>0</v>
      </c>
      <c r="G41" s="68" t="n">
        <f aca="false">ROUND(((B32*SIN(E21))^2)/(2*9.8),3)</f>
        <v>0</v>
      </c>
      <c r="H41" s="91"/>
      <c r="I41" s="91"/>
      <c r="J41" s="91"/>
      <c r="K41" s="91"/>
      <c r="L41" s="91"/>
      <c r="M41" s="30"/>
      <c r="N41" s="30"/>
      <c r="O41" s="30"/>
      <c r="P41" s="30"/>
      <c r="Q41" s="30"/>
      <c r="R41" s="30"/>
      <c r="S41" s="30"/>
      <c r="T41" s="30"/>
      <c r="U41" s="30"/>
      <c r="V41" s="30"/>
      <c r="W41" s="30"/>
      <c r="X41" s="30"/>
      <c r="Y41" s="30"/>
      <c r="Z41" s="30"/>
    </row>
    <row r="42" customFormat="false" ht="21" hidden="false" customHeight="true" outlineLevel="0" collapsed="false">
      <c r="A42" s="30" t="s">
        <v>111</v>
      </c>
      <c r="B42" s="66"/>
      <c r="C42" s="66"/>
      <c r="D42" s="66"/>
      <c r="E42" s="66"/>
      <c r="F42" s="66" t="n">
        <f aca="false">B42</f>
        <v>0</v>
      </c>
      <c r="G42" s="66" t="e">
        <f aca="false">ROUND(F42*TAN($E$19)-(0.5*9.8*(F42/($B$30*COS($E$19)))^2),3)</f>
        <v>#DIV/0!</v>
      </c>
      <c r="H42" s="91"/>
      <c r="I42" s="91"/>
      <c r="J42" s="91"/>
      <c r="K42" s="91"/>
      <c r="L42" s="91"/>
      <c r="M42" s="30"/>
      <c r="N42" s="30"/>
      <c r="O42" s="30"/>
      <c r="P42" s="30"/>
      <c r="Q42" s="30"/>
      <c r="R42" s="30"/>
      <c r="S42" s="30"/>
      <c r="T42" s="30"/>
      <c r="U42" s="30"/>
      <c r="V42" s="30"/>
      <c r="W42" s="30"/>
      <c r="X42" s="30"/>
      <c r="Y42" s="30"/>
      <c r="Z42" s="30"/>
    </row>
    <row r="43" customFormat="false" ht="21" hidden="false" customHeight="true" outlineLevel="0" collapsed="false">
      <c r="A43" s="67" t="s">
        <v>112</v>
      </c>
      <c r="B43" s="68"/>
      <c r="C43" s="68"/>
      <c r="D43" s="68"/>
      <c r="E43" s="68"/>
      <c r="F43" s="68" t="n">
        <f aca="false">ROUND((B30^2)*SIN(2*E19)/9.8,3)</f>
        <v>0</v>
      </c>
      <c r="G43" s="68" t="n">
        <v>0</v>
      </c>
      <c r="H43" s="91"/>
      <c r="I43" s="91"/>
      <c r="J43" s="91"/>
      <c r="K43" s="91"/>
      <c r="L43" s="91"/>
      <c r="M43" s="30"/>
      <c r="N43" s="30"/>
      <c r="O43" s="30"/>
      <c r="P43" s="30"/>
      <c r="Q43" s="30"/>
      <c r="R43" s="30"/>
      <c r="S43" s="30"/>
      <c r="T43" s="30"/>
      <c r="U43" s="30"/>
      <c r="V43" s="30"/>
      <c r="W43" s="30"/>
      <c r="X43" s="30"/>
      <c r="Y43" s="30"/>
      <c r="Z43" s="30"/>
    </row>
    <row r="44" customFormat="false" ht="21" hidden="false" customHeight="true" outlineLevel="0" collapsed="false">
      <c r="A44" s="30"/>
      <c r="B44" s="30"/>
      <c r="C44" s="30"/>
      <c r="D44" s="30"/>
      <c r="E44" s="30"/>
      <c r="F44" s="30"/>
      <c r="G44" s="30"/>
      <c r="H44" s="91"/>
      <c r="I44" s="91"/>
      <c r="J44" s="91"/>
      <c r="K44" s="91"/>
      <c r="L44" s="91"/>
      <c r="M44" s="30"/>
      <c r="N44" s="30"/>
      <c r="O44" s="30"/>
      <c r="P44" s="30"/>
      <c r="Q44" s="30"/>
      <c r="R44" s="30"/>
      <c r="S44" s="30"/>
      <c r="T44" s="30"/>
      <c r="U44" s="30"/>
      <c r="V44" s="30"/>
      <c r="W44" s="30"/>
      <c r="X44" s="30"/>
      <c r="Y44" s="30"/>
      <c r="Z44" s="30"/>
    </row>
    <row r="45" customFormat="false" ht="21" hidden="false" customHeight="true" outlineLevel="0" collapsed="false">
      <c r="A45" s="30"/>
      <c r="B45" s="30"/>
      <c r="C45" s="30"/>
      <c r="D45" s="30"/>
      <c r="E45" s="30"/>
      <c r="F45" s="30"/>
      <c r="G45" s="30"/>
      <c r="H45" s="91"/>
      <c r="I45" s="91"/>
      <c r="J45" s="91"/>
      <c r="K45" s="91"/>
      <c r="L45" s="91"/>
      <c r="M45" s="30"/>
      <c r="N45" s="30"/>
      <c r="O45" s="30"/>
      <c r="P45" s="30"/>
      <c r="Q45" s="30"/>
      <c r="R45" s="30"/>
      <c r="S45" s="30"/>
      <c r="T45" s="30"/>
      <c r="U45" s="30"/>
      <c r="V45" s="30"/>
      <c r="W45" s="30"/>
      <c r="X45" s="30"/>
      <c r="Y45" s="30"/>
      <c r="Z45" s="30"/>
    </row>
    <row r="46" customFormat="false" ht="36" hidden="false" customHeight="true" outlineLevel="0" collapsed="false">
      <c r="A46" s="46" t="s">
        <v>116</v>
      </c>
      <c r="B46" s="46"/>
      <c r="C46" s="46"/>
      <c r="D46" s="46"/>
      <c r="E46" s="46" t="n">
        <v>45</v>
      </c>
      <c r="F46" s="39"/>
      <c r="G46" s="36"/>
      <c r="H46" s="36"/>
      <c r="I46" s="36"/>
      <c r="J46" s="36"/>
      <c r="K46" s="36"/>
      <c r="L46" s="30"/>
      <c r="M46" s="30"/>
      <c r="N46" s="30"/>
      <c r="O46" s="30"/>
      <c r="P46" s="30"/>
      <c r="Q46" s="30"/>
      <c r="R46" s="30"/>
      <c r="S46" s="30"/>
      <c r="T46" s="30"/>
      <c r="U46" s="30"/>
      <c r="V46" s="30"/>
      <c r="W46" s="30"/>
      <c r="X46" s="30"/>
      <c r="Y46" s="30"/>
      <c r="Z46" s="30"/>
    </row>
    <row r="47" customFormat="false" ht="44.25" hidden="false" customHeight="true" outlineLevel="0" collapsed="false">
      <c r="A47" s="30"/>
      <c r="B47" s="30"/>
      <c r="C47" s="30"/>
      <c r="D47" s="47" t="s">
        <v>83</v>
      </c>
      <c r="E47" s="48" t="n">
        <f aca="false">RADIANS(E46)</f>
        <v>0.7853981634</v>
      </c>
      <c r="F47" s="39"/>
      <c r="G47" s="36"/>
      <c r="H47" s="36"/>
      <c r="I47" s="36"/>
      <c r="J47" s="36"/>
      <c r="K47" s="36"/>
      <c r="L47" s="30"/>
      <c r="M47" s="30"/>
      <c r="N47" s="30"/>
      <c r="O47" s="30"/>
      <c r="P47" s="30"/>
      <c r="Q47" s="30"/>
      <c r="R47" s="30"/>
      <c r="S47" s="30"/>
      <c r="T47" s="30"/>
      <c r="U47" s="30"/>
      <c r="V47" s="30"/>
      <c r="W47" s="30"/>
      <c r="X47" s="30"/>
      <c r="Y47" s="30"/>
      <c r="Z47" s="30"/>
    </row>
    <row r="48" customFormat="false" ht="21" hidden="false" customHeight="true" outlineLevel="0" collapsed="false">
      <c r="A48" s="30"/>
      <c r="B48" s="30"/>
      <c r="C48" s="44"/>
      <c r="D48" s="45"/>
      <c r="E48" s="40"/>
      <c r="F48" s="39"/>
      <c r="G48" s="36"/>
      <c r="H48" s="36"/>
      <c r="I48" s="36"/>
      <c r="J48" s="36"/>
      <c r="K48" s="36"/>
      <c r="L48" s="30"/>
      <c r="M48" s="30"/>
      <c r="N48" s="30"/>
      <c r="O48" s="30"/>
      <c r="P48" s="30"/>
      <c r="Q48" s="30"/>
      <c r="R48" s="30"/>
      <c r="S48" s="30"/>
      <c r="T48" s="30"/>
      <c r="U48" s="30"/>
      <c r="V48" s="30"/>
      <c r="W48" s="30"/>
      <c r="X48" s="30"/>
      <c r="Y48" s="30"/>
      <c r="Z48" s="30"/>
    </row>
    <row r="49" customFormat="false" ht="21" hidden="false" customHeight="true" outlineLevel="0" collapsed="false">
      <c r="A49" s="30"/>
      <c r="B49" s="30"/>
      <c r="C49" s="49" t="s">
        <v>84</v>
      </c>
      <c r="D49" s="49"/>
      <c r="E49" s="49"/>
      <c r="F49" s="49"/>
      <c r="G49" s="49"/>
      <c r="H49" s="49"/>
      <c r="I49" s="49"/>
      <c r="J49" s="49"/>
      <c r="K49" s="49"/>
      <c r="L49" s="30"/>
      <c r="M49" s="30"/>
      <c r="N49" s="30"/>
      <c r="O49" s="30"/>
      <c r="P49" s="30"/>
      <c r="Q49" s="30"/>
      <c r="R49" s="30"/>
      <c r="S49" s="30"/>
      <c r="T49" s="30"/>
      <c r="U49" s="30"/>
      <c r="V49" s="30"/>
      <c r="W49" s="30"/>
      <c r="X49" s="30"/>
      <c r="Y49" s="30"/>
      <c r="Z49" s="30"/>
    </row>
    <row r="50" customFormat="false" ht="21" hidden="false" customHeight="true" outlineLevel="0" collapsed="false">
      <c r="A50" s="30"/>
      <c r="B50" s="30"/>
      <c r="C50" s="49"/>
      <c r="D50" s="49"/>
      <c r="E50" s="49"/>
      <c r="F50" s="49"/>
      <c r="G50" s="49"/>
      <c r="H50" s="49"/>
      <c r="I50" s="49"/>
      <c r="J50" s="49"/>
      <c r="K50" s="49"/>
      <c r="L50" s="30"/>
      <c r="M50" s="30"/>
      <c r="N50" s="30"/>
      <c r="O50" s="30"/>
      <c r="P50" s="30"/>
      <c r="Q50" s="30"/>
      <c r="R50" s="30"/>
      <c r="S50" s="30"/>
      <c r="T50" s="30"/>
      <c r="U50" s="30"/>
      <c r="V50" s="30"/>
      <c r="W50" s="30"/>
      <c r="X50" s="30"/>
      <c r="Y50" s="30"/>
      <c r="Z50" s="30"/>
    </row>
    <row r="51" customFormat="false" ht="21" hidden="false" customHeight="true" outlineLevel="0" collapsed="false">
      <c r="A51" s="30"/>
      <c r="B51" s="30"/>
      <c r="C51" s="30"/>
      <c r="D51" s="42"/>
      <c r="E51" s="42"/>
      <c r="F51" s="39"/>
      <c r="G51" s="36"/>
      <c r="H51" s="36"/>
      <c r="I51" s="36"/>
      <c r="J51" s="36"/>
      <c r="K51" s="36"/>
      <c r="L51" s="30"/>
      <c r="M51" s="30"/>
      <c r="N51" s="30"/>
      <c r="O51" s="30"/>
      <c r="P51" s="30"/>
      <c r="Q51" s="30"/>
      <c r="R51" s="30"/>
      <c r="S51" s="30"/>
      <c r="T51" s="30"/>
      <c r="U51" s="30"/>
      <c r="V51" s="30"/>
      <c r="W51" s="30"/>
      <c r="X51" s="30"/>
      <c r="Y51" s="30"/>
      <c r="Z51" s="30"/>
    </row>
    <row r="52" customFormat="false" ht="21" hidden="false" customHeight="true" outlineLevel="0" collapsed="false">
      <c r="A52" s="30"/>
      <c r="B52" s="30"/>
      <c r="C52" s="30"/>
      <c r="D52" s="42"/>
      <c r="E52" s="42"/>
      <c r="F52" s="39"/>
      <c r="G52" s="36"/>
      <c r="H52" s="36"/>
      <c r="I52" s="36"/>
      <c r="J52" s="36"/>
      <c r="K52" s="36"/>
      <c r="L52" s="30"/>
      <c r="M52" s="30"/>
      <c r="N52" s="30"/>
      <c r="O52" s="30"/>
      <c r="P52" s="30"/>
      <c r="Q52" s="30"/>
      <c r="R52" s="30"/>
      <c r="S52" s="30"/>
      <c r="T52" s="30"/>
      <c r="U52" s="30"/>
      <c r="V52" s="30"/>
      <c r="W52" s="30"/>
      <c r="X52" s="30"/>
      <c r="Y52" s="30"/>
      <c r="Z52" s="30"/>
    </row>
    <row r="53" customFormat="false" ht="21" hidden="false" customHeight="true" outlineLevel="0" collapsed="false">
      <c r="A53" s="30"/>
      <c r="B53" s="30"/>
      <c r="C53" s="50" t="s">
        <v>86</v>
      </c>
      <c r="D53" s="50"/>
      <c r="E53" s="36"/>
      <c r="F53" s="50" t="s">
        <v>87</v>
      </c>
      <c r="G53" s="50"/>
      <c r="H53" s="36"/>
      <c r="I53" s="51" t="s">
        <v>88</v>
      </c>
      <c r="J53" s="51"/>
      <c r="K53" s="36"/>
      <c r="L53" s="50" t="s">
        <v>89</v>
      </c>
      <c r="M53" s="50"/>
      <c r="O53" s="51" t="s">
        <v>90</v>
      </c>
      <c r="P53" s="51"/>
      <c r="R53" s="30"/>
      <c r="S53" s="30"/>
      <c r="T53" s="30"/>
      <c r="U53" s="30"/>
      <c r="V53" s="30"/>
      <c r="W53" s="30"/>
      <c r="X53" s="30"/>
    </row>
    <row r="54" customFormat="false" ht="21" hidden="false" customHeight="true" outlineLevel="0" collapsed="false">
      <c r="A54" s="52"/>
      <c r="B54" s="53" t="s">
        <v>91</v>
      </c>
      <c r="C54" s="54" t="s">
        <v>92</v>
      </c>
      <c r="D54" s="55" t="n">
        <v>0</v>
      </c>
      <c r="E54" s="52"/>
      <c r="F54" s="56" t="s">
        <v>92</v>
      </c>
      <c r="G54" s="55"/>
      <c r="H54" s="52"/>
      <c r="I54" s="57" t="s">
        <v>93</v>
      </c>
      <c r="J54" s="58"/>
      <c r="K54" s="52"/>
      <c r="L54" s="56" t="s">
        <v>92</v>
      </c>
      <c r="M54" s="55"/>
      <c r="O54" s="57" t="s">
        <v>94</v>
      </c>
      <c r="P54" s="58" t="n">
        <v>0</v>
      </c>
      <c r="R54" s="52"/>
      <c r="S54" s="52"/>
      <c r="T54" s="52"/>
      <c r="U54" s="52"/>
      <c r="V54" s="52"/>
      <c r="W54" s="52"/>
      <c r="X54" s="52"/>
    </row>
    <row r="55" customFormat="false" ht="21" hidden="false" customHeight="true" outlineLevel="0" collapsed="false">
      <c r="A55" s="30"/>
      <c r="B55" s="59"/>
      <c r="C55" s="60"/>
      <c r="D55" s="61" t="s">
        <v>95</v>
      </c>
      <c r="E55" s="30"/>
      <c r="F55" s="60"/>
      <c r="G55" s="61" t="s">
        <v>95</v>
      </c>
      <c r="H55" s="36"/>
      <c r="I55" s="62"/>
      <c r="J55" s="63" t="s">
        <v>95</v>
      </c>
      <c r="K55" s="36"/>
      <c r="L55" s="60"/>
      <c r="M55" s="61" t="s">
        <v>95</v>
      </c>
      <c r="O55" s="62"/>
      <c r="P55" s="63" t="s">
        <v>93</v>
      </c>
      <c r="R55" s="30"/>
      <c r="S55" s="30"/>
      <c r="T55" s="30"/>
      <c r="U55" s="30"/>
      <c r="V55" s="30"/>
      <c r="W55" s="30"/>
      <c r="X55" s="30"/>
    </row>
    <row r="56" customFormat="false" ht="21" hidden="false" customHeight="true" outlineLevel="0" collapsed="false">
      <c r="A56" s="64" t="s">
        <v>96</v>
      </c>
      <c r="B56" s="65"/>
      <c r="C56" s="30"/>
      <c r="D56" s="66" t="n">
        <v>0</v>
      </c>
      <c r="E56" s="30"/>
      <c r="F56" s="30"/>
      <c r="G56" s="66"/>
      <c r="H56" s="36"/>
      <c r="I56" s="67"/>
      <c r="J56" s="68"/>
      <c r="K56" s="30"/>
      <c r="L56" s="30"/>
      <c r="M56" s="66"/>
      <c r="O56" s="67"/>
      <c r="P56" s="68"/>
      <c r="R56" s="30"/>
      <c r="S56" s="30"/>
      <c r="T56" s="30"/>
      <c r="U56" s="30"/>
      <c r="V56" s="30"/>
      <c r="W56" s="30"/>
      <c r="X56" s="30"/>
    </row>
    <row r="57" customFormat="false" ht="21" hidden="false" customHeight="true" outlineLevel="0" collapsed="false">
      <c r="A57" s="64" t="s">
        <v>97</v>
      </c>
      <c r="B57" s="69"/>
      <c r="C57" s="30"/>
      <c r="D57" s="66" t="n">
        <v>0</v>
      </c>
      <c r="E57" s="30"/>
      <c r="F57" s="30"/>
      <c r="G57" s="66"/>
      <c r="H57" s="36"/>
      <c r="I57" s="67"/>
      <c r="J57" s="68"/>
      <c r="K57" s="30"/>
      <c r="L57" s="30"/>
      <c r="M57" s="66"/>
      <c r="O57" s="67"/>
      <c r="P57" s="68"/>
      <c r="R57" s="30"/>
      <c r="S57" s="30"/>
      <c r="T57" s="30"/>
      <c r="U57" s="30"/>
      <c r="V57" s="30"/>
      <c r="W57" s="30"/>
      <c r="X57" s="30"/>
    </row>
    <row r="58" customFormat="false" ht="21" hidden="false" customHeight="true" outlineLevel="0" collapsed="false">
      <c r="A58" s="70" t="s">
        <v>98</v>
      </c>
      <c r="B58" s="71"/>
      <c r="C58" s="72" t="s">
        <v>99</v>
      </c>
      <c r="D58" s="73"/>
      <c r="E58" s="30"/>
      <c r="F58" s="74" t="s">
        <v>100</v>
      </c>
      <c r="G58" s="73"/>
      <c r="H58" s="30"/>
      <c r="I58" s="75" t="s">
        <v>100</v>
      </c>
      <c r="J58" s="76"/>
      <c r="K58" s="30"/>
      <c r="L58" s="74" t="s">
        <v>100</v>
      </c>
      <c r="M58" s="73"/>
      <c r="O58" s="75" t="s">
        <v>100</v>
      </c>
      <c r="P58" s="76"/>
      <c r="R58" s="30"/>
      <c r="S58" s="30"/>
      <c r="T58" s="30"/>
      <c r="U58" s="30"/>
      <c r="V58" s="30"/>
      <c r="W58" s="30"/>
      <c r="X58" s="30"/>
    </row>
    <row r="59" customFormat="false" ht="21" hidden="false" customHeight="true" outlineLevel="0" collapsed="false">
      <c r="A59" s="77" t="s">
        <v>101</v>
      </c>
      <c r="B59" s="78"/>
      <c r="C59" s="79" t="s">
        <v>102</v>
      </c>
      <c r="D59" s="80"/>
      <c r="E59" s="30"/>
      <c r="F59" s="81" t="s">
        <v>102</v>
      </c>
      <c r="G59" s="80"/>
      <c r="H59" s="30"/>
      <c r="I59" s="82" t="s">
        <v>102</v>
      </c>
      <c r="J59" s="83"/>
      <c r="K59" s="30"/>
      <c r="L59" s="81" t="s">
        <v>102</v>
      </c>
      <c r="M59" s="80"/>
      <c r="O59" s="82" t="s">
        <v>102</v>
      </c>
      <c r="P59" s="83"/>
      <c r="R59" s="30"/>
      <c r="S59" s="30"/>
      <c r="T59" s="30"/>
      <c r="U59" s="30"/>
      <c r="V59" s="30"/>
      <c r="W59" s="30"/>
      <c r="X59" s="30"/>
    </row>
    <row r="60" customFormat="false" ht="21" hidden="false" customHeight="true" outlineLevel="0" collapsed="false">
      <c r="A60" s="30"/>
      <c r="B60" s="30"/>
      <c r="C60" s="30"/>
      <c r="D60" s="30"/>
      <c r="E60" s="30"/>
      <c r="F60" s="30"/>
      <c r="G60" s="84"/>
      <c r="H60" s="84"/>
      <c r="I60" s="84"/>
      <c r="J60" s="84"/>
      <c r="K60" s="30"/>
      <c r="L60" s="30"/>
      <c r="M60" s="30"/>
      <c r="N60" s="30"/>
      <c r="O60" s="30"/>
      <c r="P60" s="30"/>
      <c r="Q60" s="30"/>
      <c r="R60" s="30"/>
      <c r="S60" s="30"/>
      <c r="T60" s="30"/>
      <c r="U60" s="30"/>
      <c r="V60" s="30"/>
      <c r="W60" s="30"/>
      <c r="X60" s="30"/>
      <c r="Y60" s="30"/>
      <c r="Z60" s="30"/>
    </row>
    <row r="61" customFormat="false" ht="21" hidden="false" customHeight="true" outlineLevel="0" collapsed="false">
      <c r="A61" s="30"/>
      <c r="B61" s="30"/>
      <c r="C61" s="30"/>
      <c r="D61" s="30"/>
      <c r="E61" s="30"/>
      <c r="F61" s="30"/>
      <c r="G61" s="30"/>
      <c r="H61" s="91" t="s">
        <v>103</v>
      </c>
      <c r="I61" s="91"/>
      <c r="J61" s="91"/>
      <c r="K61" s="91"/>
      <c r="L61" s="91"/>
      <c r="M61" s="30"/>
      <c r="N61" s="30"/>
      <c r="O61" s="30"/>
      <c r="P61" s="30"/>
      <c r="Q61" s="30"/>
      <c r="R61" s="30"/>
      <c r="S61" s="30"/>
      <c r="T61" s="30"/>
      <c r="U61" s="30"/>
      <c r="V61" s="30"/>
      <c r="W61" s="30"/>
      <c r="X61" s="30"/>
      <c r="Y61" s="30"/>
      <c r="Z61" s="30"/>
    </row>
    <row r="62" customFormat="false" ht="21" hidden="false" customHeight="true" outlineLevel="0" collapsed="false">
      <c r="A62" s="30"/>
      <c r="B62" s="30"/>
      <c r="C62" s="30"/>
      <c r="D62" s="30"/>
      <c r="E62" s="30"/>
      <c r="F62" s="30"/>
      <c r="G62" s="30"/>
      <c r="H62" s="91"/>
      <c r="I62" s="91"/>
      <c r="J62" s="91"/>
      <c r="K62" s="91"/>
      <c r="L62" s="91"/>
      <c r="M62" s="30"/>
      <c r="N62" s="30"/>
      <c r="O62" s="30"/>
      <c r="P62" s="30"/>
      <c r="Q62" s="30"/>
      <c r="R62" s="30"/>
      <c r="S62" s="30"/>
      <c r="T62" s="30"/>
      <c r="U62" s="30"/>
      <c r="V62" s="30"/>
      <c r="W62" s="30"/>
      <c r="X62" s="30"/>
      <c r="Y62" s="30"/>
      <c r="Z62" s="30"/>
    </row>
    <row r="63" customFormat="false" ht="21" hidden="false" customHeight="true" outlineLevel="0" collapsed="false">
      <c r="A63" s="30"/>
      <c r="B63" s="30"/>
      <c r="C63" s="30"/>
      <c r="D63" s="30"/>
      <c r="E63" s="30"/>
      <c r="F63" s="30"/>
      <c r="G63" s="30"/>
      <c r="H63" s="91"/>
      <c r="I63" s="91"/>
      <c r="J63" s="91"/>
      <c r="K63" s="91"/>
      <c r="L63" s="91"/>
      <c r="M63" s="30"/>
      <c r="N63" s="30"/>
      <c r="O63" s="30"/>
      <c r="P63" s="30"/>
      <c r="Q63" s="30"/>
      <c r="R63" s="30"/>
      <c r="S63" s="30"/>
      <c r="T63" s="30"/>
      <c r="U63" s="30"/>
      <c r="V63" s="30"/>
      <c r="W63" s="30"/>
      <c r="X63" s="30"/>
      <c r="Y63" s="30"/>
      <c r="Z63" s="30"/>
    </row>
    <row r="64" customFormat="false" ht="21" hidden="false" customHeight="true" outlineLevel="0" collapsed="false">
      <c r="A64" s="30"/>
      <c r="B64" s="30"/>
      <c r="C64" s="30"/>
      <c r="D64" s="30"/>
      <c r="E64" s="30"/>
      <c r="F64" s="30"/>
      <c r="G64" s="30"/>
      <c r="H64" s="91"/>
      <c r="I64" s="91"/>
      <c r="J64" s="91"/>
      <c r="K64" s="91"/>
      <c r="L64" s="91"/>
      <c r="M64" s="30"/>
      <c r="N64" s="30"/>
      <c r="O64" s="30"/>
      <c r="P64" s="30"/>
      <c r="Q64" s="30"/>
      <c r="R64" s="30"/>
      <c r="S64" s="30"/>
      <c r="T64" s="30"/>
      <c r="U64" s="30"/>
      <c r="V64" s="30"/>
      <c r="W64" s="30"/>
      <c r="X64" s="30"/>
      <c r="Y64" s="30"/>
      <c r="Z64" s="30"/>
    </row>
    <row r="65" customFormat="false" ht="21" hidden="false" customHeight="true" outlineLevel="0" collapsed="false">
      <c r="A65" s="30"/>
      <c r="B65" s="30"/>
      <c r="C65" s="30"/>
      <c r="D65" s="30"/>
      <c r="E65" s="30"/>
      <c r="F65" s="30"/>
      <c r="G65" s="30"/>
      <c r="H65" s="91"/>
      <c r="I65" s="91"/>
      <c r="J65" s="91"/>
      <c r="K65" s="91"/>
      <c r="L65" s="91"/>
      <c r="M65" s="30"/>
      <c r="N65" s="30"/>
      <c r="O65" s="30"/>
      <c r="P65" s="30"/>
      <c r="Q65" s="30"/>
      <c r="R65" s="30"/>
      <c r="S65" s="30"/>
      <c r="T65" s="30"/>
      <c r="U65" s="30"/>
      <c r="V65" s="30"/>
      <c r="W65" s="30"/>
      <c r="X65" s="30"/>
      <c r="Y65" s="30"/>
      <c r="Z65" s="30"/>
    </row>
    <row r="66" customFormat="false" ht="21" hidden="false" customHeight="true" outlineLevel="0" collapsed="false">
      <c r="A66" s="30"/>
      <c r="B66" s="85" t="s">
        <v>93</v>
      </c>
      <c r="C66" s="86" t="s">
        <v>95</v>
      </c>
      <c r="D66" s="87" t="s">
        <v>104</v>
      </c>
      <c r="E66" s="88" t="s">
        <v>105</v>
      </c>
      <c r="F66" s="89" t="s">
        <v>106</v>
      </c>
      <c r="G66" s="89" t="s">
        <v>107</v>
      </c>
      <c r="H66" s="91"/>
      <c r="I66" s="91"/>
      <c r="J66" s="91"/>
      <c r="K66" s="91"/>
      <c r="L66" s="91"/>
      <c r="M66" s="30"/>
      <c r="N66" s="30"/>
      <c r="O66" s="30"/>
      <c r="P66" s="30"/>
      <c r="Q66" s="30"/>
      <c r="R66" s="30"/>
      <c r="S66" s="30"/>
      <c r="T66" s="30"/>
      <c r="U66" s="30"/>
      <c r="V66" s="30"/>
      <c r="W66" s="30"/>
      <c r="X66" s="30"/>
      <c r="Y66" s="30"/>
      <c r="Z66" s="30"/>
    </row>
    <row r="67" customFormat="false" ht="21" hidden="false" customHeight="true" outlineLevel="0" collapsed="false">
      <c r="A67" s="90" t="s">
        <v>108</v>
      </c>
      <c r="B67" s="65"/>
      <c r="C67" s="65"/>
      <c r="D67" s="65"/>
      <c r="E67" s="65"/>
      <c r="F67" s="59" t="n">
        <v>0</v>
      </c>
      <c r="G67" s="59" t="n">
        <v>0</v>
      </c>
      <c r="H67" s="91"/>
      <c r="I67" s="91"/>
      <c r="J67" s="91"/>
      <c r="K67" s="91"/>
      <c r="L67" s="91"/>
      <c r="M67" s="30"/>
      <c r="N67" s="30"/>
      <c r="O67" s="30"/>
      <c r="P67" s="30"/>
      <c r="Q67" s="30"/>
      <c r="R67" s="30"/>
      <c r="S67" s="30"/>
      <c r="T67" s="30"/>
      <c r="U67" s="30"/>
      <c r="V67" s="30"/>
      <c r="W67" s="30"/>
      <c r="X67" s="30"/>
      <c r="Y67" s="30"/>
      <c r="Z67" s="30"/>
    </row>
    <row r="68" customFormat="false" ht="21" hidden="false" customHeight="true" outlineLevel="0" collapsed="false">
      <c r="A68" s="30" t="s">
        <v>109</v>
      </c>
      <c r="B68" s="66"/>
      <c r="C68" s="66"/>
      <c r="D68" s="66"/>
      <c r="E68" s="66"/>
      <c r="F68" s="66" t="n">
        <f aca="false">B68</f>
        <v>0</v>
      </c>
      <c r="G68" s="66" t="e">
        <f aca="false">ROUND(F68*TAN($E$19)-(0.5*9.8*(F68/($B$30*COS($E$19)))^2),3)</f>
        <v>#DIV/0!</v>
      </c>
      <c r="H68" s="91"/>
      <c r="I68" s="91"/>
      <c r="J68" s="91"/>
      <c r="K68" s="91"/>
      <c r="L68" s="91"/>
      <c r="M68" s="30"/>
      <c r="N68" s="30"/>
      <c r="O68" s="30"/>
      <c r="P68" s="30"/>
      <c r="Q68" s="30"/>
      <c r="R68" s="30"/>
      <c r="S68" s="30"/>
      <c r="T68" s="30"/>
      <c r="U68" s="30"/>
      <c r="V68" s="30"/>
      <c r="W68" s="30"/>
      <c r="X68" s="30"/>
      <c r="Y68" s="30"/>
      <c r="Z68" s="30"/>
    </row>
    <row r="69" customFormat="false" ht="21" hidden="false" customHeight="true" outlineLevel="0" collapsed="false">
      <c r="A69" s="67" t="s">
        <v>110</v>
      </c>
      <c r="B69" s="68"/>
      <c r="C69" s="68"/>
      <c r="D69" s="68"/>
      <c r="E69" s="68"/>
      <c r="F69" s="68" t="n">
        <f aca="false">ROUND((B60^2)*SIN(2*E49)/(2*9.8),3)</f>
        <v>0</v>
      </c>
      <c r="G69" s="68" t="n">
        <f aca="false">ROUND(((B60*SIN(E49))^2)/(2*9.8),3)</f>
        <v>0</v>
      </c>
      <c r="H69" s="91"/>
      <c r="I69" s="91"/>
      <c r="J69" s="91"/>
      <c r="K69" s="91"/>
      <c r="L69" s="91"/>
      <c r="M69" s="30"/>
      <c r="N69" s="30"/>
      <c r="O69" s="30"/>
      <c r="P69" s="30"/>
      <c r="Q69" s="30"/>
      <c r="R69" s="30"/>
      <c r="S69" s="30"/>
      <c r="T69" s="30"/>
      <c r="U69" s="30"/>
      <c r="V69" s="30"/>
      <c r="W69" s="30"/>
      <c r="X69" s="30"/>
      <c r="Y69" s="30"/>
      <c r="Z69" s="30"/>
    </row>
    <row r="70" customFormat="false" ht="21" hidden="false" customHeight="true" outlineLevel="0" collapsed="false">
      <c r="A70" s="30" t="s">
        <v>111</v>
      </c>
      <c r="B70" s="66"/>
      <c r="C70" s="66"/>
      <c r="D70" s="66"/>
      <c r="E70" s="66"/>
      <c r="F70" s="66" t="n">
        <f aca="false">B70</f>
        <v>0</v>
      </c>
      <c r="G70" s="66" t="e">
        <f aca="false">ROUND(F70*TAN($E$19)-(0.5*9.8*(F70/($B$30*COS($E$19)))^2),3)</f>
        <v>#DIV/0!</v>
      </c>
      <c r="H70" s="91"/>
      <c r="I70" s="91"/>
      <c r="J70" s="91"/>
      <c r="K70" s="91"/>
      <c r="L70" s="91"/>
      <c r="M70" s="30"/>
      <c r="N70" s="30"/>
      <c r="O70" s="30"/>
      <c r="P70" s="30"/>
      <c r="Q70" s="30"/>
      <c r="R70" s="30"/>
      <c r="S70" s="30"/>
      <c r="T70" s="30"/>
      <c r="U70" s="30"/>
      <c r="V70" s="30"/>
      <c r="W70" s="30"/>
      <c r="X70" s="30"/>
      <c r="Y70" s="30"/>
      <c r="Z70" s="30"/>
    </row>
    <row r="71" customFormat="false" ht="21" hidden="false" customHeight="true" outlineLevel="0" collapsed="false">
      <c r="A71" s="67" t="s">
        <v>112</v>
      </c>
      <c r="B71" s="68"/>
      <c r="C71" s="68"/>
      <c r="D71" s="68"/>
      <c r="E71" s="68"/>
      <c r="F71" s="68" t="n">
        <f aca="false">ROUND((B58^2)*SIN(2*E47)/9.8,3)</f>
        <v>0</v>
      </c>
      <c r="G71" s="68" t="n">
        <v>0</v>
      </c>
      <c r="H71" s="91"/>
      <c r="I71" s="91"/>
      <c r="J71" s="91"/>
      <c r="K71" s="91"/>
      <c r="L71" s="91"/>
      <c r="M71" s="30"/>
      <c r="N71" s="30"/>
      <c r="O71" s="30"/>
      <c r="P71" s="30"/>
      <c r="Q71" s="30"/>
      <c r="R71" s="30"/>
      <c r="S71" s="30"/>
      <c r="T71" s="30"/>
      <c r="U71" s="30"/>
      <c r="V71" s="30"/>
      <c r="W71" s="30"/>
      <c r="X71" s="30"/>
      <c r="Y71" s="30"/>
      <c r="Z71" s="30"/>
    </row>
    <row r="72" customFormat="false" ht="21" hidden="false" customHeight="true" outlineLevel="0" collapsed="false">
      <c r="A72" s="30"/>
      <c r="B72" s="30"/>
      <c r="C72" s="30"/>
      <c r="D72" s="30"/>
      <c r="E72" s="30"/>
      <c r="F72" s="30"/>
      <c r="G72" s="30"/>
      <c r="H72" s="91"/>
      <c r="I72" s="91"/>
      <c r="J72" s="91"/>
      <c r="K72" s="91"/>
      <c r="L72" s="91"/>
      <c r="M72" s="30"/>
      <c r="N72" s="30"/>
      <c r="O72" s="30"/>
      <c r="P72" s="30"/>
      <c r="Q72" s="30"/>
      <c r="R72" s="30"/>
      <c r="S72" s="30"/>
      <c r="T72" s="30"/>
      <c r="U72" s="30"/>
      <c r="V72" s="30"/>
      <c r="W72" s="30"/>
      <c r="X72" s="30"/>
      <c r="Y72" s="30"/>
      <c r="Z72" s="30"/>
    </row>
    <row r="73" customFormat="false" ht="21" hidden="false" customHeight="true" outlineLevel="0" collapsed="false">
      <c r="A73" s="30"/>
      <c r="B73" s="30"/>
      <c r="C73" s="30"/>
      <c r="D73" s="30"/>
      <c r="E73" s="30"/>
      <c r="F73" s="30"/>
      <c r="G73" s="30"/>
      <c r="H73" s="91"/>
      <c r="I73" s="91"/>
      <c r="J73" s="91"/>
      <c r="K73" s="91"/>
      <c r="L73" s="91"/>
      <c r="M73" s="30"/>
      <c r="N73" s="30"/>
      <c r="O73" s="30"/>
      <c r="P73" s="30"/>
      <c r="Q73" s="30"/>
      <c r="R73" s="30"/>
      <c r="S73" s="30"/>
      <c r="T73" s="30"/>
      <c r="U73" s="30"/>
      <c r="V73" s="30"/>
      <c r="W73" s="30"/>
      <c r="X73" s="30"/>
      <c r="Y73" s="30"/>
      <c r="Z73" s="30"/>
    </row>
    <row r="74" customFormat="false" ht="21" hidden="false" customHeight="true" outlineLevel="0" collapsed="false">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ustomFormat="false" ht="13.5" hidden="false" customHeight="true" outlineLevel="0" collapsed="false">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ustomFormat="false" ht="13.5" hidden="false" customHeight="true" outlineLevel="0" collapsed="false">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ustomFormat="false" ht="13.5" hidden="false" customHeight="true" outlineLevel="0" collapsed="false">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ustomFormat="false" ht="13.5" hidden="false" customHeight="true" outlineLevel="0" collapsed="false">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3.5" hidden="false" customHeight="true" outlineLevel="0" collapsed="false">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3.5" hidden="false" customHeight="true" outlineLevel="0" collapsed="false">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3.5" hidden="false" customHeight="true" outlineLevel="0" collapsed="false">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3.5" hidden="false" customHeight="true" outlineLevel="0" collapsed="false">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3.5" hidden="false" customHeight="true" outlineLevel="0" collapsed="false">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3.5" hidden="false" customHeight="true" outlineLevel="0" collapsed="false">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3.5" hidden="false" customHeight="true" outlineLevel="0" collapsed="false">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3.5" hidden="false" customHeight="true" outlineLevel="0" collapsed="false">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3.5" hidden="false" customHeight="true" outlineLevel="0" collapsed="false">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3.5" hidden="false" customHeight="true" outlineLevel="0" collapsed="false">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3.5" hidden="false" customHeight="true" outlineLevel="0" collapsed="false">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3.5" hidden="false" customHeight="true" outlineLevel="0" collapsed="false">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3.5" hidden="false" customHeight="true" outlineLevel="0" collapsed="false">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3.5" hidden="false" customHeight="true" outlineLevel="0" collapsed="false">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3.5" hidden="false" customHeight="true" outlineLevel="0" collapsed="false">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3.5" hidden="false" customHeight="true" outlineLevel="0" collapsed="false">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3.5" hidden="false" customHeight="true" outlineLevel="0" collapsed="false">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3.5" hidden="false" customHeight="true" outlineLevel="0" collapsed="false">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3.5" hidden="false" customHeight="true" outlineLevel="0" collapsed="false">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3.5" hidden="false" customHeight="true" outlineLevel="0" collapsed="false">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3.5" hidden="false" customHeight="true" outlineLevel="0" collapsed="false">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3.5" hidden="false" customHeight="true" outlineLevel="0" collapsed="false">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3.5" hidden="false" customHeight="true" outlineLevel="0" collapsed="false">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3.5" hidden="false" customHeight="true" outlineLevel="0" collapsed="false">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3.5" hidden="false" customHeight="true" outlineLevel="0" collapsed="false">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3.5" hidden="false" customHeight="true" outlineLevel="0" collapsed="false">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3.5" hidden="false" customHeight="true" outlineLevel="0" collapsed="false">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3.5" hidden="false" customHeight="true" outlineLevel="0" collapsed="false">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3.5" hidden="false" customHeight="true" outlineLevel="0" collapsed="false">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3.5" hidden="false" customHeight="true" outlineLevel="0" collapsed="false">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3.5" hidden="false" customHeight="true" outlineLevel="0" collapsed="false">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3.5" hidden="false" customHeight="true" outlineLevel="0" collapsed="false">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3.5" hidden="false" customHeight="true" outlineLevel="0" collapsed="false">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3.5" hidden="false" customHeight="true" outlineLevel="0" collapsed="false">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3.5" hidden="false" customHeight="true" outlineLevel="0" collapsed="false">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3.5" hidden="false" customHeight="true" outlineLevel="0" collapsed="false">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3.5" hidden="false" customHeight="true" outlineLevel="0" collapsed="false">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3.5" hidden="false" customHeight="true" outlineLevel="0" collapsed="false">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3.5" hidden="false" customHeight="true" outlineLevel="0" collapsed="false">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3.5" hidden="false" customHeight="true" outlineLevel="0" collapsed="false">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3.5" hidden="false" customHeight="true" outlineLevel="0" collapsed="false">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3.5" hidden="false" customHeight="true" outlineLevel="0" collapsed="false">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3.5" hidden="false" customHeight="true" outlineLevel="0" collapsed="false">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3.5" hidden="false" customHeight="true" outlineLevel="0" collapsed="false">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3.5" hidden="false" customHeight="true" outlineLevel="0" collapsed="false">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3.5" hidden="false" customHeight="true" outlineLevel="0" collapsed="false">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3.5" hidden="false" customHeight="true" outlineLevel="0" collapsed="false">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3.5" hidden="false" customHeight="true" outlineLevel="0" collapsed="false">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3.5" hidden="false" customHeight="true" outlineLevel="0" collapsed="false">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3.5" hidden="false" customHeight="true" outlineLevel="0" collapsed="false">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3.5" hidden="false" customHeight="true" outlineLevel="0" collapsed="false">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3.5" hidden="false" customHeight="true" outlineLevel="0" collapsed="false">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3.5" hidden="false" customHeight="true" outlineLevel="0" collapsed="false">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3.5" hidden="false" customHeight="true" outlineLevel="0" collapsed="false">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3.5" hidden="false" customHeight="true" outlineLevel="0" collapsed="false">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3.5" hidden="false" customHeight="true" outlineLevel="0" collapsed="false">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3.5" hidden="false" customHeight="true" outlineLevel="0" collapsed="false">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3.5" hidden="false" customHeight="true" outlineLevel="0" collapsed="false">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3.5" hidden="false" customHeight="true" outlineLevel="0" collapsed="false">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3.5" hidden="false" customHeight="true" outlineLevel="0" collapsed="false">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3.5" hidden="false" customHeight="true" outlineLevel="0" collapsed="false">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3.5" hidden="false" customHeight="true" outlineLevel="0" collapsed="false">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3.5" hidden="false" customHeight="true" outlineLevel="0" collapsed="false">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3.5" hidden="false" customHeight="true" outlineLevel="0" collapsed="false">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3.5" hidden="false" customHeight="true" outlineLevel="0" collapsed="false">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3.5" hidden="false" customHeight="true" outlineLevel="0" collapsed="false">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3.5" hidden="false" customHeight="true" outlineLevel="0" collapsed="false">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3.5" hidden="false" customHeight="true" outlineLevel="0" collapsed="false">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3.5" hidden="false" customHeight="true" outlineLevel="0" collapsed="false">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3.5" hidden="false" customHeight="true" outlineLevel="0" collapsed="false">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3.5" hidden="false" customHeight="true" outlineLevel="0" collapsed="false">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3.5" hidden="false" customHeight="true" outlineLevel="0" collapsed="false">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3.5" hidden="false" customHeight="true" outlineLevel="0" collapsed="false">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3.5" hidden="false" customHeight="true" outlineLevel="0" collapsed="false">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3.5" hidden="false" customHeight="true" outlineLevel="0" collapsed="false">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3.5" hidden="false" customHeight="true" outlineLevel="0" collapsed="false">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3.5" hidden="false" customHeight="true" outlineLevel="0" collapsed="false">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3.5" hidden="false" customHeight="true" outlineLevel="0" collapsed="false">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3.5" hidden="false" customHeight="true" outlineLevel="0" collapsed="false">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3.5" hidden="false" customHeight="true" outlineLevel="0" collapsed="false">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3.5" hidden="false" customHeight="true" outlineLevel="0" collapsed="false">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3.5" hidden="false" customHeight="true" outlineLevel="0" collapsed="false">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3.5" hidden="false" customHeight="true" outlineLevel="0" collapsed="false">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3.5" hidden="false" customHeight="true" outlineLevel="0" collapsed="false">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3.5" hidden="false" customHeight="true" outlineLevel="0" collapsed="false">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3.5" hidden="false" customHeight="true" outlineLevel="0" collapsed="false">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3.5" hidden="false" customHeight="true" outlineLevel="0" collapsed="false">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3.5" hidden="false" customHeight="true" outlineLevel="0" collapsed="false">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3.5" hidden="false" customHeight="true" outlineLevel="0" collapsed="false">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3.5" hidden="false" customHeight="true" outlineLevel="0" collapsed="false">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3.5" hidden="false" customHeight="true" outlineLevel="0" collapsed="false">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3.5" hidden="false" customHeight="true" outlineLevel="0" collapsed="false">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3.5" hidden="false" customHeight="true" outlineLevel="0" collapsed="false">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3.5" hidden="false" customHeight="true" outlineLevel="0" collapsed="false">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3.5" hidden="false" customHeight="true" outlineLevel="0" collapsed="false">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3.5" hidden="false" customHeight="true" outlineLevel="0" collapsed="false">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3.5" hidden="false" customHeight="true" outlineLevel="0" collapsed="false">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3.5" hidden="false" customHeight="true" outlineLevel="0" collapsed="false">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3.5" hidden="false" customHeight="true" outlineLevel="0" collapsed="false">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3.5" hidden="false" customHeight="true" outlineLevel="0" collapsed="false">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3.5" hidden="false" customHeight="true" outlineLevel="0" collapsed="false">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3.5" hidden="false" customHeight="true" outlineLevel="0" collapsed="false">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3.5" hidden="false" customHeight="true" outlineLevel="0" collapsed="false">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3.5" hidden="false" customHeight="true" outlineLevel="0" collapsed="false">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3.5" hidden="false" customHeight="true" outlineLevel="0" collapsed="false">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3.5" hidden="false" customHeight="true" outlineLevel="0" collapsed="false">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3.5" hidden="false" customHeight="true" outlineLevel="0" collapsed="false">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3.5" hidden="false" customHeight="true" outlineLevel="0" collapsed="false">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3.5" hidden="false" customHeight="true" outlineLevel="0" collapsed="false">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3.5" hidden="false" customHeight="true" outlineLevel="0" collapsed="false">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3.5" hidden="false" customHeight="true" outlineLevel="0" collapsed="false">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3.5" hidden="false" customHeight="true" outlineLevel="0" collapsed="false">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3.5" hidden="false" customHeight="true" outlineLevel="0" collapsed="false">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3.5" hidden="false" customHeight="true" outlineLevel="0" collapsed="false">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3.5" hidden="false" customHeight="true" outlineLevel="0" collapsed="false">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3.5" hidden="false" customHeight="true" outlineLevel="0" collapsed="false">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3.5" hidden="false" customHeight="true" outlineLevel="0" collapsed="false">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3.5" hidden="false" customHeight="true" outlineLevel="0" collapsed="false">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3.5" hidden="false" customHeight="true" outlineLevel="0" collapsed="false">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3.5" hidden="false" customHeight="true" outlineLevel="0" collapsed="false">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3.5" hidden="false" customHeight="true" outlineLevel="0" collapsed="false">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3.5" hidden="false" customHeight="true" outlineLevel="0" collapsed="false">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3.5" hidden="false" customHeight="true" outlineLevel="0" collapsed="false">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3.5" hidden="false" customHeight="true" outlineLevel="0" collapsed="false">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3.5" hidden="false" customHeight="true" outlineLevel="0" collapsed="false">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3.5" hidden="false" customHeight="true" outlineLevel="0" collapsed="false">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3.5" hidden="false" customHeight="true" outlineLevel="0" collapsed="false">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3.5" hidden="false" customHeight="true" outlineLevel="0" collapsed="false">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3.5" hidden="false" customHeight="true" outlineLevel="0" collapsed="false">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3.5" hidden="false" customHeight="true" outlineLevel="0" collapsed="false">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3.5" hidden="false" customHeight="true" outlineLevel="0" collapsed="false">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3.5" hidden="false" customHeight="true" outlineLevel="0" collapsed="false">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3.5" hidden="false" customHeight="true" outlineLevel="0" collapsed="false">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3.5" hidden="false" customHeight="true" outlineLevel="0" collapsed="false">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3.5" hidden="false" customHeight="true" outlineLevel="0" collapsed="false">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3.5" hidden="false" customHeight="true" outlineLevel="0" collapsed="false">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3.5" hidden="false" customHeight="true" outlineLevel="0" collapsed="false">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3.5" hidden="false" customHeight="true" outlineLevel="0" collapsed="false">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3.5" hidden="false" customHeight="true" outlineLevel="0" collapsed="false">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3.5" hidden="false" customHeight="true" outlineLevel="0" collapsed="false">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3.5" hidden="false" customHeight="true" outlineLevel="0" collapsed="false">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3.5" hidden="false" customHeight="true" outlineLevel="0" collapsed="false">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3.5" hidden="false" customHeight="true" outlineLevel="0" collapsed="false">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3.5" hidden="false" customHeight="true" outlineLevel="0" collapsed="false">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3.5" hidden="false" customHeight="true" outlineLevel="0" collapsed="false">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3.5" hidden="false" customHeight="true" outlineLevel="0" collapsed="false">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3.5" hidden="false" customHeight="true" outlineLevel="0" collapsed="false">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3.5" hidden="false" customHeight="true" outlineLevel="0" collapsed="false">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3.5" hidden="false" customHeight="true" outlineLevel="0" collapsed="false">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3.5" hidden="false" customHeight="true" outlineLevel="0" collapsed="false">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3.5" hidden="false" customHeight="true" outlineLevel="0" collapsed="false">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3.5" hidden="false" customHeight="true" outlineLevel="0" collapsed="false">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3.5" hidden="false" customHeight="true" outlineLevel="0" collapsed="false">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3.5" hidden="false" customHeight="true" outlineLevel="0" collapsed="false">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3.5" hidden="false" customHeight="true" outlineLevel="0" collapsed="false">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3.5" hidden="false" customHeight="true" outlineLevel="0" collapsed="false">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3.5" hidden="false" customHeight="true" outlineLevel="0" collapsed="false">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3.5" hidden="false" customHeight="true" outlineLevel="0" collapsed="false">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3.5" hidden="false" customHeight="true" outlineLevel="0" collapsed="false">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3.5" hidden="false" customHeight="true" outlineLevel="0" collapsed="false">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3.5" hidden="false" customHeight="true" outlineLevel="0" collapsed="false">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3.5" hidden="false" customHeight="true" outlineLevel="0" collapsed="false">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3.5" hidden="false" customHeight="true" outlineLevel="0" collapsed="false">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3.5" hidden="false" customHeight="true" outlineLevel="0" collapsed="false">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3.5" hidden="false" customHeight="true" outlineLevel="0" collapsed="false">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3.5" hidden="false" customHeight="true" outlineLevel="0" collapsed="false">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3.5" hidden="false" customHeight="true" outlineLevel="0" collapsed="false">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3.5" hidden="false" customHeight="true" outlineLevel="0" collapsed="false">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3.5" hidden="false" customHeight="true" outlineLevel="0" collapsed="false">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3.5" hidden="false" customHeight="true" outlineLevel="0" collapsed="false">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3.5" hidden="false" customHeight="true" outlineLevel="0" collapsed="false">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3.5" hidden="false" customHeight="true" outlineLevel="0" collapsed="false">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3.5" hidden="false" customHeight="true" outlineLevel="0" collapsed="false">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3.5" hidden="false" customHeight="true" outlineLevel="0" collapsed="false">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3.5" hidden="false" customHeight="true" outlineLevel="0" collapsed="false">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3.5" hidden="false" customHeight="true" outlineLevel="0" collapsed="false">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3.5" hidden="false" customHeight="true" outlineLevel="0" collapsed="false">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3.5" hidden="false" customHeight="true" outlineLevel="0" collapsed="false">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3.5" hidden="false" customHeight="true" outlineLevel="0" collapsed="false">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3.5" hidden="false" customHeight="true" outlineLevel="0" collapsed="false">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3.5" hidden="false" customHeight="true" outlineLevel="0" collapsed="false">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3.5" hidden="false" customHeight="true" outlineLevel="0" collapsed="false">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3.5" hidden="false" customHeight="true" outlineLevel="0" collapsed="false">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3.5" hidden="false" customHeight="true" outlineLevel="0" collapsed="false">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3.5" hidden="false" customHeight="true" outlineLevel="0" collapsed="false">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3.5" hidden="false" customHeight="true" outlineLevel="0" collapsed="false">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3.5" hidden="false" customHeight="true" outlineLevel="0" collapsed="false">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3.5" hidden="false" customHeight="true" outlineLevel="0" collapsed="false">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3.5" hidden="false" customHeight="true" outlineLevel="0" collapsed="false">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3.5" hidden="false" customHeight="true" outlineLevel="0" collapsed="false">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3.5" hidden="false" customHeight="true" outlineLevel="0" collapsed="false">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3.5" hidden="false" customHeight="true" outlineLevel="0" collapsed="false">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3.5" hidden="false" customHeight="true" outlineLevel="0" collapsed="false">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9">
    <mergeCell ref="G1:I1"/>
    <mergeCell ref="F2:J2"/>
    <mergeCell ref="F4:L15"/>
    <mergeCell ref="A18:D18"/>
    <mergeCell ref="C21:K22"/>
    <mergeCell ref="C25:D25"/>
    <mergeCell ref="F25:G25"/>
    <mergeCell ref="I25:J25"/>
    <mergeCell ref="L25:M25"/>
    <mergeCell ref="O25:P25"/>
    <mergeCell ref="H33:L45"/>
    <mergeCell ref="A46:D46"/>
    <mergeCell ref="C49:K50"/>
    <mergeCell ref="C53:D53"/>
    <mergeCell ref="F53:G53"/>
    <mergeCell ref="I53:J53"/>
    <mergeCell ref="L53:M53"/>
    <mergeCell ref="O53:P53"/>
    <mergeCell ref="H61:L7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0" min="1" style="0" width="8.71"/>
  </cols>
  <sheetData>
    <row r="1" customFormat="false" ht="14.25" hidden="false" customHeight="true" outlineLevel="0" collapsed="false">
      <c r="A1" s="94" t="s">
        <v>117</v>
      </c>
      <c r="B1" s="94"/>
      <c r="C1" s="94"/>
      <c r="D1" s="94"/>
      <c r="E1" s="94"/>
      <c r="F1" s="94"/>
      <c r="G1" s="94"/>
      <c r="H1" s="94"/>
      <c r="I1" s="94"/>
      <c r="J1" s="94"/>
      <c r="K1" s="94"/>
      <c r="L1" s="94"/>
      <c r="M1" s="94"/>
      <c r="N1" s="94"/>
      <c r="O1" s="94"/>
      <c r="P1" s="94"/>
      <c r="Q1" s="94"/>
      <c r="R1" s="94"/>
      <c r="S1" s="94"/>
      <c r="T1" s="94"/>
    </row>
    <row r="2" customFormat="false" ht="14.25" hidden="false" customHeight="true" outlineLevel="0" collapsed="false">
      <c r="A2" s="95"/>
      <c r="B2" s="95"/>
      <c r="C2" s="95"/>
      <c r="D2" s="95"/>
      <c r="E2" s="95"/>
      <c r="F2" s="95"/>
      <c r="G2" s="95"/>
      <c r="H2" s="95"/>
      <c r="I2" s="95"/>
      <c r="J2" s="95"/>
    </row>
    <row r="3" customFormat="false" ht="14.25" hidden="false" customHeight="true" outlineLevel="0" collapsed="false">
      <c r="A3" s="96" t="s">
        <v>118</v>
      </c>
      <c r="B3" s="96"/>
      <c r="C3" s="96"/>
      <c r="D3" s="96"/>
      <c r="E3" s="96"/>
      <c r="F3" s="96"/>
      <c r="G3" s="95"/>
      <c r="H3" s="95"/>
      <c r="I3" s="95"/>
      <c r="J3" s="95"/>
    </row>
    <row r="4" customFormat="false" ht="18.75" hidden="false" customHeight="true" outlineLevel="0" collapsed="false">
      <c r="A4" s="97"/>
      <c r="B4" s="97"/>
      <c r="C4" s="97"/>
      <c r="D4" s="97"/>
      <c r="E4" s="97"/>
      <c r="F4" s="97"/>
      <c r="G4" s="97"/>
      <c r="H4" s="97"/>
      <c r="I4" s="97"/>
      <c r="J4" s="95"/>
    </row>
    <row r="5" customFormat="false" ht="14.25" hidden="false" customHeight="true" outlineLevel="0" collapsed="false">
      <c r="A5" s="97"/>
      <c r="B5" s="97"/>
      <c r="C5" s="97"/>
      <c r="D5" s="97"/>
      <c r="E5" s="97"/>
      <c r="F5" s="97"/>
      <c r="G5" s="97"/>
      <c r="H5" s="97"/>
      <c r="I5" s="97"/>
      <c r="J5" s="95"/>
    </row>
    <row r="6" customFormat="false" ht="14.25" hidden="false" customHeight="true" outlineLevel="0" collapsed="false">
      <c r="A6" s="97"/>
      <c r="B6" s="97"/>
      <c r="C6" s="97"/>
      <c r="D6" s="97"/>
      <c r="E6" s="97"/>
      <c r="F6" s="97"/>
      <c r="G6" s="97"/>
      <c r="H6" s="97"/>
      <c r="I6" s="97"/>
      <c r="J6" s="95"/>
    </row>
    <row r="7" customFormat="false" ht="14.25" hidden="false" customHeight="true" outlineLevel="0" collapsed="false">
      <c r="A7" s="97"/>
      <c r="B7" s="97"/>
      <c r="C7" s="97"/>
      <c r="D7" s="97"/>
      <c r="E7" s="97"/>
      <c r="F7" s="97"/>
      <c r="G7" s="97"/>
      <c r="H7" s="97"/>
      <c r="I7" s="97"/>
      <c r="J7" s="95"/>
    </row>
    <row r="8" customFormat="false" ht="14.25" hidden="false" customHeight="true" outlineLevel="0" collapsed="false">
      <c r="A8" s="97"/>
      <c r="B8" s="97"/>
      <c r="C8" s="97"/>
      <c r="D8" s="97"/>
      <c r="E8" s="97"/>
      <c r="F8" s="97"/>
      <c r="G8" s="97"/>
      <c r="H8" s="97"/>
      <c r="I8" s="97"/>
      <c r="J8" s="95"/>
    </row>
    <row r="9" customFormat="false" ht="14.25" hidden="false" customHeight="true" outlineLevel="0" collapsed="false">
      <c r="A9" s="97"/>
      <c r="B9" s="97"/>
      <c r="C9" s="97"/>
      <c r="D9" s="97"/>
      <c r="E9" s="97"/>
      <c r="F9" s="97"/>
      <c r="G9" s="97"/>
      <c r="H9" s="97"/>
      <c r="I9" s="97"/>
      <c r="J9" s="95"/>
    </row>
    <row r="10" customFormat="false" ht="14.25" hidden="false" customHeight="true" outlineLevel="0" collapsed="false">
      <c r="A10" s="97"/>
      <c r="B10" s="97"/>
      <c r="C10" s="97"/>
      <c r="D10" s="97"/>
      <c r="E10" s="97"/>
      <c r="F10" s="97"/>
      <c r="G10" s="97"/>
      <c r="H10" s="97"/>
      <c r="I10" s="97"/>
      <c r="J10" s="95"/>
    </row>
    <row r="11" customFormat="false" ht="14.25" hidden="false" customHeight="true" outlineLevel="0" collapsed="false">
      <c r="A11" s="97"/>
      <c r="B11" s="97"/>
      <c r="C11" s="97"/>
      <c r="D11" s="97"/>
      <c r="E11" s="97"/>
      <c r="F11" s="97"/>
      <c r="G11" s="97"/>
      <c r="H11" s="97"/>
      <c r="I11" s="97"/>
      <c r="J11" s="95"/>
    </row>
    <row r="12" customFormat="false" ht="14.25" hidden="false" customHeight="true" outlineLevel="0" collapsed="false">
      <c r="A12" s="97"/>
      <c r="B12" s="97"/>
      <c r="C12" s="97"/>
      <c r="D12" s="97"/>
      <c r="E12" s="97"/>
      <c r="F12" s="97"/>
      <c r="G12" s="97"/>
      <c r="H12" s="97"/>
      <c r="I12" s="97"/>
      <c r="J12" s="95"/>
    </row>
    <row r="13" customFormat="false" ht="14.25" hidden="false" customHeight="true" outlineLevel="0" collapsed="false">
      <c r="A13" s="97"/>
      <c r="B13" s="97"/>
      <c r="C13" s="97"/>
      <c r="D13" s="97"/>
      <c r="E13" s="97"/>
      <c r="F13" s="97"/>
      <c r="G13" s="97"/>
      <c r="H13" s="97"/>
      <c r="I13" s="97"/>
      <c r="J13" s="95"/>
    </row>
    <row r="14" customFormat="false" ht="14.25" hidden="false" customHeight="true" outlineLevel="0" collapsed="false">
      <c r="A14" s="97"/>
      <c r="B14" s="97"/>
      <c r="C14" s="97"/>
      <c r="D14" s="97"/>
      <c r="E14" s="97"/>
      <c r="F14" s="97"/>
      <c r="G14" s="97"/>
      <c r="H14" s="97"/>
      <c r="I14" s="97"/>
      <c r="J14" s="95"/>
    </row>
    <row r="15" customFormat="false" ht="14.25" hidden="false" customHeight="true" outlineLevel="0" collapsed="false">
      <c r="A15" s="97"/>
      <c r="B15" s="97"/>
      <c r="C15" s="97"/>
      <c r="D15" s="97"/>
      <c r="E15" s="97"/>
      <c r="F15" s="97"/>
      <c r="G15" s="97"/>
      <c r="H15" s="97"/>
      <c r="I15" s="97"/>
      <c r="J15" s="95"/>
    </row>
    <row r="16" customFormat="false" ht="14.25" hidden="false" customHeight="true" outlineLevel="0" collapsed="false">
      <c r="A16" s="95"/>
      <c r="B16" s="95"/>
      <c r="C16" s="95"/>
      <c r="D16" s="95"/>
      <c r="E16" s="95"/>
      <c r="F16" s="95"/>
      <c r="G16" s="95"/>
      <c r="H16" s="95"/>
      <c r="I16" s="95"/>
      <c r="J16" s="95"/>
    </row>
    <row r="17" customFormat="false" ht="14.25" hidden="false" customHeight="true" outlineLevel="0" collapsed="false">
      <c r="A17" s="95"/>
      <c r="B17" s="95"/>
      <c r="C17" s="95"/>
      <c r="D17" s="95"/>
      <c r="E17" s="95"/>
      <c r="F17" s="95"/>
      <c r="G17" s="95"/>
      <c r="H17" s="95"/>
      <c r="I17" s="95"/>
      <c r="J17" s="95"/>
    </row>
    <row r="18" customFormat="false" ht="14.25" hidden="false" customHeight="true" outlineLevel="0" collapsed="false">
      <c r="A18" s="95" t="s">
        <v>119</v>
      </c>
      <c r="B18" s="29"/>
      <c r="C18" s="29"/>
      <c r="D18" s="29"/>
      <c r="E18" s="95"/>
      <c r="F18" s="95"/>
      <c r="G18" s="95"/>
      <c r="H18" s="95"/>
      <c r="I18" s="95"/>
      <c r="J18" s="95"/>
    </row>
    <row r="19" customFormat="false" ht="18.75" hidden="false" customHeight="true" outlineLevel="0" collapsed="false">
      <c r="A19" s="97"/>
      <c r="B19" s="97"/>
      <c r="C19" s="97"/>
      <c r="D19" s="97"/>
      <c r="E19" s="97"/>
      <c r="F19" s="97"/>
      <c r="G19" s="97"/>
      <c r="H19" s="97"/>
      <c r="I19" s="97"/>
      <c r="J19" s="97"/>
    </row>
    <row r="20" customFormat="false" ht="18.75" hidden="false" customHeight="true" outlineLevel="0" collapsed="false">
      <c r="A20" s="97"/>
      <c r="B20" s="97"/>
      <c r="C20" s="97"/>
      <c r="D20" s="97"/>
      <c r="E20" s="97"/>
      <c r="F20" s="97"/>
      <c r="G20" s="97"/>
      <c r="H20" s="97"/>
      <c r="I20" s="97"/>
      <c r="J20" s="97"/>
    </row>
    <row r="21" customFormat="false" ht="18.75" hidden="false" customHeight="true" outlineLevel="0" collapsed="false">
      <c r="A21" s="97"/>
      <c r="B21" s="97"/>
      <c r="C21" s="97"/>
      <c r="D21" s="97"/>
      <c r="E21" s="97"/>
      <c r="F21" s="97"/>
      <c r="G21" s="97"/>
      <c r="H21" s="97"/>
      <c r="I21" s="97"/>
      <c r="J21" s="97"/>
    </row>
    <row r="22" customFormat="false" ht="18.75" hidden="false" customHeight="true" outlineLevel="0" collapsed="false">
      <c r="A22" s="97"/>
      <c r="B22" s="97"/>
      <c r="C22" s="97"/>
      <c r="D22" s="97"/>
      <c r="E22" s="97"/>
      <c r="F22" s="97"/>
      <c r="G22" s="97"/>
      <c r="H22" s="97"/>
      <c r="I22" s="97"/>
      <c r="J22" s="97"/>
    </row>
    <row r="23" customFormat="false" ht="18.75" hidden="false" customHeight="true" outlineLevel="0" collapsed="false">
      <c r="A23" s="97"/>
      <c r="B23" s="97"/>
      <c r="C23" s="97"/>
      <c r="D23" s="97"/>
      <c r="E23" s="97"/>
      <c r="F23" s="97"/>
      <c r="G23" s="97"/>
      <c r="H23" s="97"/>
      <c r="I23" s="97"/>
      <c r="J23" s="97"/>
    </row>
    <row r="24" customFormat="false" ht="18.75" hidden="false" customHeight="true" outlineLevel="0" collapsed="false">
      <c r="A24" s="97"/>
      <c r="B24" s="97"/>
      <c r="C24" s="97"/>
      <c r="D24" s="97"/>
      <c r="E24" s="97"/>
      <c r="F24" s="97"/>
      <c r="G24" s="97"/>
      <c r="H24" s="97"/>
      <c r="I24" s="97"/>
      <c r="J24" s="97"/>
    </row>
    <row r="25" customFormat="false" ht="18.75" hidden="false" customHeight="true" outlineLevel="0" collapsed="false">
      <c r="A25" s="97"/>
      <c r="B25" s="97"/>
      <c r="C25" s="97"/>
      <c r="D25" s="97"/>
      <c r="E25" s="97"/>
      <c r="F25" s="97"/>
      <c r="G25" s="97"/>
      <c r="H25" s="97"/>
      <c r="I25" s="97"/>
      <c r="J25" s="97"/>
    </row>
    <row r="26" customFormat="false" ht="18.75" hidden="false" customHeight="true" outlineLevel="0" collapsed="false">
      <c r="A26" s="97"/>
      <c r="B26" s="97"/>
      <c r="C26" s="97"/>
      <c r="D26" s="97"/>
      <c r="E26" s="97"/>
      <c r="F26" s="97"/>
      <c r="G26" s="97"/>
      <c r="H26" s="97"/>
      <c r="I26" s="97"/>
      <c r="J26" s="97"/>
    </row>
    <row r="27" customFormat="false" ht="18.75" hidden="false" customHeight="true" outlineLevel="0" collapsed="false">
      <c r="A27" s="97"/>
      <c r="B27" s="97"/>
      <c r="C27" s="97"/>
      <c r="D27" s="97"/>
      <c r="E27" s="97"/>
      <c r="F27" s="97"/>
      <c r="G27" s="97"/>
      <c r="H27" s="97"/>
      <c r="I27" s="97"/>
      <c r="J27" s="97"/>
    </row>
    <row r="28" customFormat="false" ht="18.75" hidden="false" customHeight="true" outlineLevel="0" collapsed="false">
      <c r="A28" s="97"/>
      <c r="B28" s="97"/>
      <c r="C28" s="97"/>
      <c r="D28" s="97"/>
      <c r="E28" s="97"/>
      <c r="F28" s="97"/>
      <c r="G28" s="97"/>
      <c r="H28" s="97"/>
      <c r="I28" s="97"/>
      <c r="J28" s="97"/>
    </row>
    <row r="29" customFormat="false" ht="18.75" hidden="false" customHeight="true" outlineLevel="0" collapsed="false">
      <c r="A29" s="97"/>
      <c r="B29" s="97"/>
      <c r="C29" s="97"/>
      <c r="D29" s="97"/>
      <c r="E29" s="97"/>
      <c r="F29" s="97"/>
      <c r="G29" s="97"/>
      <c r="H29" s="97"/>
      <c r="I29" s="97"/>
      <c r="J29" s="97"/>
    </row>
    <row r="30" customFormat="false" ht="18.75" hidden="false" customHeight="true" outlineLevel="0" collapsed="false">
      <c r="A30" s="97"/>
      <c r="B30" s="97"/>
      <c r="C30" s="97"/>
      <c r="D30" s="97"/>
      <c r="E30" s="97"/>
      <c r="F30" s="97"/>
      <c r="G30" s="97"/>
      <c r="H30" s="97"/>
      <c r="I30" s="97"/>
      <c r="J30" s="97"/>
    </row>
    <row r="31" customFormat="false" ht="18.75" hidden="false" customHeight="true" outlineLevel="0" collapsed="false">
      <c r="A31" s="97"/>
      <c r="B31" s="97"/>
      <c r="C31" s="97"/>
      <c r="D31" s="97"/>
      <c r="E31" s="97"/>
      <c r="F31" s="97"/>
      <c r="G31" s="97"/>
      <c r="H31" s="97"/>
      <c r="I31" s="97"/>
      <c r="J31" s="97"/>
    </row>
    <row r="32" customFormat="false" ht="14.25" hidden="false" customHeight="true" outlineLevel="0" collapsed="false">
      <c r="A32" s="95"/>
      <c r="B32" s="95"/>
      <c r="C32" s="95"/>
      <c r="D32" s="95"/>
      <c r="E32" s="95"/>
      <c r="F32" s="95"/>
      <c r="G32" s="95"/>
      <c r="H32" s="95"/>
      <c r="I32" s="95"/>
      <c r="J32" s="95"/>
    </row>
    <row r="33" customFormat="false" ht="14.25" hidden="false" customHeight="true" outlineLevel="0" collapsed="false">
      <c r="A33" s="95"/>
      <c r="B33" s="95"/>
      <c r="C33" s="95"/>
      <c r="D33" s="95"/>
      <c r="E33" s="95"/>
      <c r="F33" s="95"/>
      <c r="G33" s="95"/>
      <c r="H33" s="95"/>
      <c r="I33" s="95"/>
      <c r="J33" s="95"/>
    </row>
    <row r="34" customFormat="false" ht="14.25" hidden="false" customHeight="true" outlineLevel="0" collapsed="false">
      <c r="A34" s="95" t="s">
        <v>120</v>
      </c>
      <c r="B34" s="95"/>
      <c r="C34" s="95"/>
      <c r="D34" s="95"/>
      <c r="E34" s="95"/>
      <c r="F34" s="95"/>
      <c r="G34" s="95"/>
      <c r="H34" s="95"/>
      <c r="I34" s="95"/>
      <c r="J34" s="95"/>
    </row>
    <row r="35" customFormat="false" ht="18.75" hidden="false" customHeight="true" outlineLevel="0" collapsed="false">
      <c r="A35" s="97"/>
      <c r="B35" s="97"/>
      <c r="C35" s="97"/>
      <c r="D35" s="97"/>
      <c r="E35" s="97"/>
      <c r="F35" s="97"/>
      <c r="G35" s="97"/>
      <c r="H35" s="97"/>
      <c r="I35" s="97"/>
      <c r="J35" s="95"/>
    </row>
    <row r="36" customFormat="false" ht="14.25" hidden="false" customHeight="true" outlineLevel="0" collapsed="false">
      <c r="A36" s="97"/>
      <c r="B36" s="97"/>
      <c r="C36" s="97"/>
      <c r="D36" s="97"/>
      <c r="E36" s="97"/>
      <c r="F36" s="97"/>
      <c r="G36" s="97"/>
      <c r="H36" s="97"/>
      <c r="I36" s="97"/>
      <c r="J36" s="95"/>
    </row>
    <row r="37" customFormat="false" ht="14.25" hidden="false" customHeight="true" outlineLevel="0" collapsed="false">
      <c r="A37" s="97"/>
      <c r="B37" s="97"/>
      <c r="C37" s="97"/>
      <c r="D37" s="97"/>
      <c r="E37" s="97"/>
      <c r="F37" s="97"/>
      <c r="G37" s="97"/>
      <c r="H37" s="97"/>
      <c r="I37" s="97"/>
      <c r="J37" s="95"/>
    </row>
    <row r="38" customFormat="false" ht="14.25" hidden="false" customHeight="true" outlineLevel="0" collapsed="false">
      <c r="A38" s="97"/>
      <c r="B38" s="97"/>
      <c r="C38" s="97"/>
      <c r="D38" s="97"/>
      <c r="E38" s="97"/>
      <c r="F38" s="97"/>
      <c r="G38" s="97"/>
      <c r="H38" s="97"/>
      <c r="I38" s="97"/>
      <c r="J38" s="95"/>
    </row>
    <row r="39" customFormat="false" ht="14.25" hidden="false" customHeight="true" outlineLevel="0" collapsed="false">
      <c r="A39" s="97"/>
      <c r="B39" s="97"/>
      <c r="C39" s="97"/>
      <c r="D39" s="97"/>
      <c r="E39" s="97"/>
      <c r="F39" s="97"/>
      <c r="G39" s="97"/>
      <c r="H39" s="97"/>
      <c r="I39" s="97"/>
      <c r="J39" s="95"/>
    </row>
    <row r="40" customFormat="false" ht="14.25" hidden="false" customHeight="true" outlineLevel="0" collapsed="false">
      <c r="A40" s="97"/>
      <c r="B40" s="97"/>
      <c r="C40" s="97"/>
      <c r="D40" s="97"/>
      <c r="E40" s="97"/>
      <c r="F40" s="97"/>
      <c r="G40" s="97"/>
      <c r="H40" s="97"/>
      <c r="I40" s="97"/>
      <c r="J40" s="95"/>
    </row>
    <row r="41" customFormat="false" ht="14.25" hidden="false" customHeight="true" outlineLevel="0" collapsed="false">
      <c r="A41" s="97"/>
      <c r="B41" s="97"/>
      <c r="C41" s="97"/>
      <c r="D41" s="97"/>
      <c r="E41" s="97"/>
      <c r="F41" s="97"/>
      <c r="G41" s="97"/>
      <c r="H41" s="97"/>
      <c r="I41" s="97"/>
      <c r="J41" s="95"/>
    </row>
    <row r="42" customFormat="false" ht="14.25" hidden="false" customHeight="true" outlineLevel="0" collapsed="false">
      <c r="A42" s="97"/>
      <c r="B42" s="97"/>
      <c r="C42" s="97"/>
      <c r="D42" s="97"/>
      <c r="E42" s="97"/>
      <c r="F42" s="97"/>
      <c r="G42" s="97"/>
      <c r="H42" s="97"/>
      <c r="I42" s="97"/>
      <c r="J42" s="95"/>
    </row>
    <row r="43" customFormat="false" ht="14.25" hidden="false" customHeight="true" outlineLevel="0" collapsed="false">
      <c r="A43" s="97"/>
      <c r="B43" s="97"/>
      <c r="C43" s="97"/>
      <c r="D43" s="97"/>
      <c r="E43" s="97"/>
      <c r="F43" s="97"/>
      <c r="G43" s="97"/>
      <c r="H43" s="97"/>
      <c r="I43" s="97"/>
      <c r="J43" s="95"/>
    </row>
    <row r="44" customFormat="false" ht="14.25" hidden="false" customHeight="true" outlineLevel="0" collapsed="false">
      <c r="A44" s="97"/>
      <c r="B44" s="97"/>
      <c r="C44" s="97"/>
      <c r="D44" s="97"/>
      <c r="E44" s="97"/>
      <c r="F44" s="97"/>
      <c r="G44" s="97"/>
      <c r="H44" s="97"/>
      <c r="I44" s="97"/>
      <c r="J44" s="95"/>
    </row>
    <row r="45" customFormat="false" ht="14.25" hidden="false" customHeight="true" outlineLevel="0" collapsed="false">
      <c r="A45" s="97"/>
      <c r="B45" s="97"/>
      <c r="C45" s="97"/>
      <c r="D45" s="97"/>
      <c r="E45" s="97"/>
      <c r="F45" s="97"/>
      <c r="G45" s="97"/>
      <c r="H45" s="97"/>
      <c r="I45" s="97"/>
      <c r="J45" s="95"/>
    </row>
    <row r="46" customFormat="false" ht="14.25" hidden="false" customHeight="true" outlineLevel="0" collapsed="false">
      <c r="A46" s="97"/>
      <c r="B46" s="97"/>
      <c r="C46" s="97"/>
      <c r="D46" s="97"/>
      <c r="E46" s="97"/>
      <c r="F46" s="97"/>
      <c r="G46" s="97"/>
      <c r="H46" s="97"/>
      <c r="I46" s="97"/>
      <c r="J46" s="95"/>
    </row>
    <row r="47" customFormat="false" ht="14.25" hidden="false" customHeight="true" outlineLevel="0" collapsed="false">
      <c r="A47" s="97"/>
      <c r="B47" s="97"/>
      <c r="C47" s="97"/>
      <c r="D47" s="97"/>
      <c r="E47" s="97"/>
      <c r="F47" s="97"/>
      <c r="G47" s="97"/>
      <c r="H47" s="97"/>
      <c r="I47" s="97"/>
      <c r="J47" s="95"/>
    </row>
    <row r="48" customFormat="false" ht="14.25" hidden="false" customHeight="true" outlineLevel="0" collapsed="false">
      <c r="A48" s="95"/>
      <c r="B48" s="95"/>
      <c r="C48" s="95"/>
      <c r="D48" s="95"/>
      <c r="E48" s="95"/>
      <c r="F48" s="95"/>
      <c r="G48" s="95"/>
      <c r="H48" s="95"/>
      <c r="I48" s="95"/>
      <c r="J48" s="95"/>
    </row>
    <row r="49" customFormat="false" ht="14.25" hidden="false" customHeight="true" outlineLevel="0" collapsed="false">
      <c r="A49" s="95"/>
      <c r="B49" s="95"/>
      <c r="C49" s="95"/>
      <c r="D49" s="95"/>
      <c r="E49" s="95"/>
      <c r="F49" s="95"/>
      <c r="G49" s="95"/>
      <c r="H49" s="95"/>
      <c r="I49" s="95"/>
      <c r="J49" s="95"/>
    </row>
    <row r="50" customFormat="false" ht="14.25" hidden="false" customHeight="true" outlineLevel="0" collapsed="false">
      <c r="A50" s="95" t="s">
        <v>121</v>
      </c>
      <c r="B50" s="29"/>
      <c r="C50" s="29"/>
      <c r="D50" s="29"/>
      <c r="E50" s="95"/>
      <c r="F50" s="95"/>
      <c r="G50" s="95"/>
      <c r="H50" s="95"/>
      <c r="I50" s="95"/>
      <c r="J50" s="95"/>
    </row>
    <row r="51" customFormat="false" ht="18.75" hidden="false" customHeight="true" outlineLevel="0" collapsed="false">
      <c r="A51" s="97"/>
      <c r="B51" s="97"/>
      <c r="C51" s="97"/>
      <c r="D51" s="97"/>
      <c r="E51" s="97"/>
      <c r="F51" s="97"/>
      <c r="G51" s="97"/>
      <c r="H51" s="97"/>
      <c r="I51" s="97"/>
      <c r="J51" s="97"/>
      <c r="K51" s="97"/>
    </row>
    <row r="52" customFormat="false" ht="18.75" hidden="false" customHeight="true" outlineLevel="0" collapsed="false">
      <c r="A52" s="97"/>
      <c r="B52" s="97"/>
      <c r="C52" s="97"/>
      <c r="D52" s="97"/>
      <c r="E52" s="97"/>
      <c r="F52" s="97"/>
      <c r="G52" s="97"/>
      <c r="H52" s="97"/>
      <c r="I52" s="97"/>
      <c r="J52" s="97"/>
      <c r="K52" s="97"/>
    </row>
    <row r="53" customFormat="false" ht="18.75" hidden="false" customHeight="true" outlineLevel="0" collapsed="false">
      <c r="A53" s="97"/>
      <c r="B53" s="97"/>
      <c r="C53" s="97"/>
      <c r="D53" s="97"/>
      <c r="E53" s="97"/>
      <c r="F53" s="97"/>
      <c r="G53" s="97"/>
      <c r="H53" s="97"/>
      <c r="I53" s="97"/>
      <c r="J53" s="97"/>
      <c r="K53" s="97"/>
    </row>
    <row r="54" customFormat="false" ht="18.75" hidden="false" customHeight="true" outlineLevel="0" collapsed="false">
      <c r="A54" s="97"/>
      <c r="B54" s="97"/>
      <c r="C54" s="97"/>
      <c r="D54" s="97"/>
      <c r="E54" s="97"/>
      <c r="F54" s="97"/>
      <c r="G54" s="97"/>
      <c r="H54" s="97"/>
      <c r="I54" s="97"/>
      <c r="J54" s="97"/>
      <c r="K54" s="97"/>
    </row>
    <row r="55" customFormat="false" ht="18.75" hidden="false" customHeight="true" outlineLevel="0" collapsed="false">
      <c r="A55" s="97"/>
      <c r="B55" s="97"/>
      <c r="C55" s="97"/>
      <c r="D55" s="97"/>
      <c r="E55" s="97"/>
      <c r="F55" s="97"/>
      <c r="G55" s="97"/>
      <c r="H55" s="97"/>
      <c r="I55" s="97"/>
      <c r="J55" s="97"/>
      <c r="K55" s="97"/>
    </row>
    <row r="56" customFormat="false" ht="18.75" hidden="false" customHeight="true" outlineLevel="0" collapsed="false">
      <c r="A56" s="97"/>
      <c r="B56" s="97"/>
      <c r="C56" s="97"/>
      <c r="D56" s="97"/>
      <c r="E56" s="97"/>
      <c r="F56" s="97"/>
      <c r="G56" s="97"/>
      <c r="H56" s="97"/>
      <c r="I56" s="97"/>
      <c r="J56" s="97"/>
      <c r="K56" s="97"/>
    </row>
    <row r="57" customFormat="false" ht="18.75" hidden="false" customHeight="true" outlineLevel="0" collapsed="false">
      <c r="A57" s="97"/>
      <c r="B57" s="97"/>
      <c r="C57" s="97"/>
      <c r="D57" s="97"/>
      <c r="E57" s="97"/>
      <c r="F57" s="97"/>
      <c r="G57" s="97"/>
      <c r="H57" s="97"/>
      <c r="I57" s="97"/>
      <c r="J57" s="97"/>
      <c r="K57" s="97"/>
    </row>
    <row r="58" customFormat="false" ht="18.75" hidden="false" customHeight="true" outlineLevel="0" collapsed="false">
      <c r="A58" s="97"/>
      <c r="B58" s="97"/>
      <c r="C58" s="97"/>
      <c r="D58" s="97"/>
      <c r="E58" s="97"/>
      <c r="F58" s="97"/>
      <c r="G58" s="97"/>
      <c r="H58" s="97"/>
      <c r="I58" s="97"/>
      <c r="J58" s="97"/>
      <c r="K58" s="97"/>
    </row>
    <row r="59" customFormat="false" ht="18.75" hidden="false" customHeight="true" outlineLevel="0" collapsed="false">
      <c r="A59" s="97"/>
      <c r="B59" s="97"/>
      <c r="C59" s="97"/>
      <c r="D59" s="97"/>
      <c r="E59" s="97"/>
      <c r="F59" s="97"/>
      <c r="G59" s="97"/>
      <c r="H59" s="97"/>
      <c r="I59" s="97"/>
      <c r="J59" s="97"/>
      <c r="K59" s="97"/>
    </row>
    <row r="60" customFormat="false" ht="18.75" hidden="false" customHeight="true" outlineLevel="0" collapsed="false">
      <c r="A60" s="97"/>
      <c r="B60" s="97"/>
      <c r="C60" s="97"/>
      <c r="D60" s="97"/>
      <c r="E60" s="97"/>
      <c r="F60" s="97"/>
      <c r="G60" s="97"/>
      <c r="H60" s="97"/>
      <c r="I60" s="97"/>
      <c r="J60" s="97"/>
      <c r="K60" s="97"/>
    </row>
    <row r="61" customFormat="false" ht="18.75" hidden="false" customHeight="true" outlineLevel="0" collapsed="false">
      <c r="A61" s="97"/>
      <c r="B61" s="97"/>
      <c r="C61" s="97"/>
      <c r="D61" s="97"/>
      <c r="E61" s="97"/>
      <c r="F61" s="97"/>
      <c r="G61" s="97"/>
      <c r="H61" s="97"/>
      <c r="I61" s="97"/>
      <c r="J61" s="97"/>
      <c r="K61" s="97"/>
    </row>
    <row r="62" customFormat="false" ht="18.75" hidden="false" customHeight="true" outlineLevel="0" collapsed="false">
      <c r="A62" s="97"/>
      <c r="B62" s="97"/>
      <c r="C62" s="97"/>
      <c r="D62" s="97"/>
      <c r="E62" s="97"/>
      <c r="F62" s="97"/>
      <c r="G62" s="97"/>
      <c r="H62" s="97"/>
      <c r="I62" s="97"/>
      <c r="J62" s="97"/>
      <c r="K62" s="97"/>
    </row>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A1:T1"/>
    <mergeCell ref="A3:F3"/>
    <mergeCell ref="A4:I15"/>
    <mergeCell ref="A19:J31"/>
    <mergeCell ref="A35:I47"/>
    <mergeCell ref="A51:K6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2025-10-18T10:20:25Z</dcterms:created>
  <dc:creator>hadir ali</dc:creator>
  <dc:description/>
  <dc:language>en-US</dc:language>
  <cp:lastModifiedBy/>
  <dcterms:modified xsi:type="dcterms:W3CDTF">2026-08-31T15:12:08Z</dcterms:modified>
  <cp:revision>1</cp:revision>
  <dc:subject/>
  <dc:title/>
</cp:coreProperties>
</file>