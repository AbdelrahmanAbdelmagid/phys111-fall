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tudent information" sheetId="1" state="visible" r:id="rId4"/>
    <sheet name="Notes" sheetId="2" state="visible" r:id="rId5"/>
    <sheet name="Task 1" sheetId="3" state="visible" r:id="rId6"/>
    <sheet name="Task 2" sheetId="4" state="visible" r:id="rId7"/>
    <sheet name="Task 3" sheetId="5" state="visible" r:id="rId8"/>
    <sheet name="Discussion Questions" sheetId="6" state="visible" r:id="rId9"/>
    <sheet name="Report" sheetId="7" state="visible" r:id="rId10"/>
    <sheet name="Grade sheet" sheetId="8" state="visible" r:id="rId11"/>
  </sheets>
  <definedNames>
    <definedName function="false" hidden="false" name="The_frictional_block_on_the_drawing_paper_with_a_rough_surface__such_that_the_side_wood_face_surface_touches_the_sheet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<sst xmlns="http://schemas.openxmlformats.org/spreadsheetml/2006/main" count="421" uniqueCount="219">
  <si>
    <t xml:space="preserve">Classical Mechanics</t>
  </si>
  <si>
    <t xml:space="preserve">Exp 13</t>
  </si>
  <si>
    <t xml:space="preserve">Conservation of Mechanical Energy in a Vertical Spring</t>
  </si>
  <si>
    <t xml:space="preserve">Student(s) Information</t>
  </si>
  <si>
    <t xml:space="preserve">Student #1</t>
  </si>
  <si>
    <t xml:space="preserve">Student #2</t>
  </si>
  <si>
    <t xml:space="preserve">Student #3</t>
  </si>
  <si>
    <t xml:space="preserve">Student #4</t>
  </si>
  <si>
    <t xml:space="preserve">Student #5</t>
  </si>
  <si>
    <t xml:space="preserve">Name</t>
  </si>
  <si>
    <t xml:space="preserve">Faculty ID</t>
  </si>
  <si>
    <t xml:space="preserve">Section</t>
  </si>
  <si>
    <t xml:space="preserve">E-mail address</t>
  </si>
  <si>
    <t xml:space="preserve">Date</t>
  </si>
  <si>
    <t xml:space="preserve">Instructor name</t>
  </si>
  <si>
    <t xml:space="preserve">Attended section</t>
  </si>
  <si>
    <t xml:space="preserve">TA Name</t>
  </si>
  <si>
    <t xml:space="preserve">TA Email</t>
  </si>
  <si>
    <t xml:space="preserve">Dr. Sameh Mahmoud</t>
  </si>
  <si>
    <t xml:space="preserve">NurEldin Hassan</t>
  </si>
  <si>
    <t xml:space="preserve">nurhassan@zewailcity.edu.eg</t>
  </si>
  <si>
    <t xml:space="preserve">Area zone</t>
  </si>
  <si>
    <t xml:space="preserve">Dr. Ahmed Aly</t>
  </si>
  <si>
    <t xml:space="preserve">Mansour Hassan</t>
  </si>
  <si>
    <t xml:space="preserve">mahassan@zewailcity.edu.eg</t>
  </si>
  <si>
    <t xml:space="preserve">Labtop No</t>
  </si>
  <si>
    <t xml:space="preserve">Dr. Amr Mohamed</t>
  </si>
  <si>
    <t xml:space="preserve">Dalia Mohamed</t>
  </si>
  <si>
    <t xml:space="preserve">dmohamed@zewailcity.edu.eg</t>
  </si>
  <si>
    <t xml:space="preserve">Dr. Hisham Anwer</t>
  </si>
  <si>
    <t xml:space="preserve">Nora Abdullah</t>
  </si>
  <si>
    <t xml:space="preserve">nabdullah@zewailcity.edu.eg</t>
  </si>
  <si>
    <t xml:space="preserve">File name and
Email subject #1</t>
  </si>
  <si>
    <t xml:space="preserve">Riham Ibrahim</t>
  </si>
  <si>
    <t xml:space="preserve">rtaha@zewailcity.edu.eg</t>
  </si>
  <si>
    <t xml:space="preserve">Omar Mesh'al</t>
  </si>
  <si>
    <t xml:space="preserve">omashal@zewailcity.edu.eg</t>
  </si>
  <si>
    <t xml:space="preserve">File name and
Email subject #2</t>
  </si>
  <si>
    <t xml:space="preserve">Ali Ahmed</t>
  </si>
  <si>
    <t xml:space="preserve">alahmed@zewailcity.edu.eg</t>
  </si>
  <si>
    <t xml:space="preserve">Alia Dawood</t>
  </si>
  <si>
    <t xml:space="preserve">s-aliadawood@zewailcity.edu.eg</t>
  </si>
  <si>
    <t xml:space="preserve">File name and
Email subject #3</t>
  </si>
  <si>
    <t xml:space="preserve">Reem Ahmed</t>
  </si>
  <si>
    <t xml:space="preserve">rhmohamed@zewailcity.edu.eg</t>
  </si>
  <si>
    <t xml:space="preserve">Noha Shokry</t>
  </si>
  <si>
    <t xml:space="preserve">naboqara@zewailcity.edu.eg</t>
  </si>
  <si>
    <t xml:space="preserve">File name and
Email subject #4</t>
  </si>
  <si>
    <t xml:space="preserve">Mohamed Ibrahim</t>
  </si>
  <si>
    <t xml:space="preserve">mkadah@zewailcity.edu.eg</t>
  </si>
  <si>
    <t xml:space="preserve">Mohamed Helal</t>
  </si>
  <si>
    <t xml:space="preserve">mohelal@zewailcity.edu.eg</t>
  </si>
  <si>
    <t xml:space="preserve">File name and
Email subject #5</t>
  </si>
  <si>
    <t xml:space="preserve">Samar Elsafy</t>
  </si>
  <si>
    <t xml:space="preserve">selsafy@zewailcity.edu.eg</t>
  </si>
  <si>
    <t xml:space="preserve">Moamen Saleh</t>
  </si>
  <si>
    <t xml:space="preserve">mshassan@zewailcity.edu.eg</t>
  </si>
  <si>
    <t xml:space="preserve">Mohamed Atef</t>
  </si>
  <si>
    <t xml:space="preserve">mdeyab@zewailcity.edu.eg</t>
  </si>
  <si>
    <t xml:space="preserve">Please read the "Notes" sheet carefully before filling your report and before submitting it.</t>
  </si>
  <si>
    <t xml:space="preserve">Eng. Ahmed Parsi</t>
  </si>
  <si>
    <t xml:space="preserve">aparsi@zewailcity.edu.eg</t>
  </si>
  <si>
    <t xml:space="preserve">Eng. Amina Mohamed</t>
  </si>
  <si>
    <t xml:space="preserve">aabdelsayed@zewailcity.edu.eg</t>
  </si>
  <si>
    <t xml:space="preserve">Notes to the instructor *</t>
  </si>
  <si>
    <t xml:space="preserve">* Any note concering your report you wish to point out to the instructor should be written in the "Notes to the instructor" cells.</t>
  </si>
  <si>
    <t xml:space="preserve">Notes :</t>
  </si>
  <si>
    <t xml:space="preserve">The experiment procedures should be carefully read from the lab manual before the lab session.</t>
  </si>
  <si>
    <t xml:space="preserve">Lab reports should be submitted on time to avoid any grades decductions.</t>
  </si>
  <si>
    <t xml:space="preserve">Each student should bring his/her laptop and work on his/her data,graphs and calculations in person not in groups.</t>
  </si>
  <si>
    <t xml:space="preserve">All your calculations and equations used to compute any value should be clearly stated.</t>
  </si>
  <si>
    <t xml:space="preserve">All equations should be written using the equation design. (Insert -&gt; Equation)</t>
  </si>
  <si>
    <t xml:space="preserve">All calculated quantities should be expressed with their correct units.</t>
  </si>
  <si>
    <t xml:space="preserve">The lab report should be readable, well organized and formated.</t>
  </si>
  <si>
    <t xml:space="preserve">Any note concering your report you wish to point out to the instructor should be written in the "Notes to the instructor" cells.</t>
  </si>
  <si>
    <t xml:space="preserve">Each graph should contain the following :</t>
  </si>
  <si>
    <t xml:space="preserve">A scatter plot with all your data points.</t>
  </si>
  <si>
    <t xml:space="preserve">A descriptive chart title.</t>
  </si>
  <si>
    <t xml:space="preserve">Axis titles (Physical quantity and its unit).</t>
  </si>
  <si>
    <t xml:space="preserve">A suitable scale for each of the axis (0.000 or E+10 slopes are not accepted because they are massively rounded).</t>
  </si>
  <si>
    <t xml:space="preserve">A legend in case of multiple plots on the same graph.</t>
  </si>
  <si>
    <t xml:space="preserve">A suitable intercept of the trendline (if any).</t>
  </si>
  <si>
    <t xml:space="preserve">An equation for the trendline on graph (if any).</t>
  </si>
  <si>
    <t xml:space="preserve">Error bars representing the uncertainty in each reading</t>
  </si>
  <si>
    <t xml:space="preserve">Task 1</t>
  </si>
  <si>
    <t xml:space="preserve">Determination of the spring coefficient using Hooke’s law.</t>
  </si>
  <si>
    <r>
      <rPr>
        <b val="true"/>
        <sz val="12"/>
        <color theme="1"/>
        <rFont val="Times New Roman"/>
        <family val="0"/>
        <charset val="1"/>
      </rPr>
      <t xml:space="preserve">Hanging mass on the spring (weight holder + added masses)
</t>
    </r>
    <r>
      <rPr>
        <i val="true"/>
        <sz val="12"/>
        <color theme="1"/>
        <rFont val="Times New Roman"/>
        <family val="0"/>
        <charset val="1"/>
      </rPr>
      <t xml:space="preserve">m (kg)</t>
    </r>
  </si>
  <si>
    <r>
      <rPr>
        <b val="true"/>
        <sz val="12"/>
        <color theme="1"/>
        <rFont val="Times New Roman"/>
        <family val="0"/>
        <charset val="1"/>
      </rPr>
      <t xml:space="preserve">Displacement from Natural postion  Trial 1
</t>
    </r>
    <r>
      <rPr>
        <i val="true"/>
        <sz val="12"/>
        <color theme="1"/>
        <rFont val="Times New Roman"/>
        <family val="0"/>
        <charset val="1"/>
      </rPr>
      <t xml:space="preserve">s (m)</t>
    </r>
  </si>
  <si>
    <r>
      <rPr>
        <b val="true"/>
        <sz val="12"/>
        <color theme="1"/>
        <rFont val="Times New Roman"/>
        <family val="0"/>
        <charset val="1"/>
      </rPr>
      <t xml:space="preserve">Displacement from Natural postion  Trial 2
</t>
    </r>
    <r>
      <rPr>
        <i val="true"/>
        <sz val="12"/>
        <color theme="1"/>
        <rFont val="Times New Roman"/>
        <family val="0"/>
        <charset val="1"/>
      </rPr>
      <t xml:space="preserve">s (m)</t>
    </r>
  </si>
  <si>
    <r>
      <rPr>
        <b val="true"/>
        <sz val="12"/>
        <color theme="1"/>
        <rFont val="Times New Roman"/>
        <family val="0"/>
        <charset val="1"/>
      </rPr>
      <t xml:space="preserve">Displacement from Natural postion  Trial 3
</t>
    </r>
    <r>
      <rPr>
        <i val="true"/>
        <sz val="12"/>
        <color theme="1"/>
        <rFont val="Times New Roman"/>
        <family val="0"/>
        <charset val="1"/>
      </rPr>
      <t xml:space="preserve">s (m)</t>
    </r>
  </si>
  <si>
    <r>
      <rPr>
        <b val="true"/>
        <sz val="12"/>
        <color theme="1"/>
        <rFont val="Times New Roman"/>
        <family val="0"/>
        <charset val="1"/>
      </rPr>
      <t xml:space="preserve">Displacement from Natural postion  Average value
</t>
    </r>
    <r>
      <rPr>
        <i val="true"/>
        <sz val="12"/>
        <color theme="1"/>
        <rFont val="Times New Roman"/>
        <family val="0"/>
        <charset val="1"/>
      </rPr>
      <t xml:space="preserve">s (m)</t>
    </r>
  </si>
  <si>
    <t xml:space="preserve">Data Processing (1/10) =</t>
  </si>
  <si>
    <t xml:space="preserve">Graphs (1/10) =</t>
  </si>
  <si>
    <t xml:space="preserve">Verifications (1/10) =</t>
  </si>
  <si>
    <t xml:space="preserve">Error analysis (1/10) =</t>
  </si>
  <si>
    <t xml:space="preserve">Total (4/10) =</t>
  </si>
  <si>
    <r>
      <rPr>
        <sz val="11"/>
        <color theme="1"/>
        <rFont val="Calibri"/>
        <family val="0"/>
        <charset val="1"/>
      </rPr>
      <t xml:space="preserve">Slope </t>
    </r>
    <r>
      <rPr>
        <i val="true"/>
        <sz val="11"/>
        <color theme="1"/>
        <rFont val="Calibri"/>
        <family val="0"/>
        <charset val="1"/>
      </rPr>
      <t xml:space="preserve">(kg/m)</t>
    </r>
    <r>
      <rPr>
        <sz val="11"/>
        <color theme="1"/>
        <rFont val="Calibri"/>
        <family val="0"/>
        <charset val="1"/>
      </rPr>
      <t xml:space="preserve">=</t>
    </r>
  </si>
  <si>
    <t xml:space="preserve">Place your graph here</t>
  </si>
  <si>
    <r>
      <rPr>
        <sz val="11"/>
        <color theme="1"/>
        <rFont val="Calibri"/>
        <family val="0"/>
        <charset val="1"/>
      </rPr>
      <t xml:space="preserve">Spring coefficient </t>
    </r>
    <r>
      <rPr>
        <i val="true"/>
        <sz val="11"/>
        <color theme="1"/>
        <rFont val="Calibri"/>
        <family val="0"/>
        <charset val="1"/>
      </rPr>
      <t xml:space="preserve">k (N/m)</t>
    </r>
    <r>
      <rPr>
        <sz val="11"/>
        <color theme="1"/>
        <rFont val="Calibri"/>
        <family val="0"/>
        <charset val="1"/>
      </rPr>
      <t xml:space="preserve">=</t>
    </r>
  </si>
  <si>
    <t xml:space="preserve">Task 2</t>
  </si>
  <si>
    <t xml:space="preserve">Relation between Velocity and Displacement  from
Equilibrium Position with constant Mass</t>
  </si>
  <si>
    <r>
      <rPr>
        <b val="true"/>
        <sz val="14"/>
        <color theme="1"/>
        <rFont val="Calibri"/>
        <family val="0"/>
        <charset val="1"/>
      </rPr>
      <t xml:space="preserve">The Spring coefficient  </t>
    </r>
    <r>
      <rPr>
        <i val="true"/>
        <sz val="14"/>
        <color theme="1"/>
        <rFont val="Calibri"/>
        <family val="0"/>
        <charset val="1"/>
      </rPr>
      <t xml:space="preserve">k (N/m)</t>
    </r>
    <r>
      <rPr>
        <b val="true"/>
        <sz val="14"/>
        <color theme="1"/>
        <rFont val="Calibri"/>
        <family val="0"/>
        <charset val="1"/>
      </rPr>
      <t xml:space="preserve"> =</t>
    </r>
  </si>
  <si>
    <r>
      <rPr>
        <b val="true"/>
        <sz val="14"/>
        <color theme="1"/>
        <rFont val="Calibri"/>
        <family val="0"/>
        <charset val="1"/>
      </rPr>
      <t xml:space="preserve">Mass of the holder </t>
    </r>
    <r>
      <rPr>
        <i val="true"/>
        <sz val="14"/>
        <color theme="1"/>
        <rFont val="Calibri"/>
        <family val="0"/>
        <charset val="1"/>
      </rPr>
      <t xml:space="preserve">(kg)</t>
    </r>
    <r>
      <rPr>
        <b val="true"/>
        <sz val="14"/>
        <color theme="1"/>
        <rFont val="Calibri"/>
        <family val="0"/>
        <charset val="1"/>
      </rPr>
      <t xml:space="preserve"> =</t>
    </r>
  </si>
  <si>
    <r>
      <rPr>
        <b val="true"/>
        <sz val="14"/>
        <color theme="1"/>
        <rFont val="Calibri"/>
        <family val="0"/>
        <charset val="1"/>
      </rPr>
      <t xml:space="preserve">Added Mass </t>
    </r>
    <r>
      <rPr>
        <i val="true"/>
        <sz val="14"/>
        <color theme="1"/>
        <rFont val="Calibri"/>
        <family val="0"/>
        <charset val="1"/>
      </rPr>
      <t xml:space="preserve">(kg)</t>
    </r>
    <r>
      <rPr>
        <b val="true"/>
        <sz val="14"/>
        <color theme="1"/>
        <rFont val="Calibri"/>
        <family val="0"/>
        <charset val="1"/>
      </rPr>
      <t xml:space="preserve"> =</t>
    </r>
  </si>
  <si>
    <t xml:space="preserve">equilibrium position of spring empty</t>
  </si>
  <si>
    <r>
      <rPr>
        <b val="true"/>
        <sz val="14"/>
        <color theme="1"/>
        <rFont val="Calibri"/>
        <family val="0"/>
        <charset val="1"/>
      </rPr>
      <t xml:space="preserve">Total Mass </t>
    </r>
    <r>
      <rPr>
        <i val="true"/>
        <sz val="14"/>
        <color theme="1"/>
        <rFont val="Calibri"/>
        <family val="0"/>
        <charset val="1"/>
      </rPr>
      <t xml:space="preserve">m(kg)</t>
    </r>
    <r>
      <rPr>
        <b val="true"/>
        <sz val="14"/>
        <color theme="1"/>
        <rFont val="Calibri"/>
        <family val="0"/>
        <charset val="1"/>
      </rPr>
      <t xml:space="preserve"> =</t>
    </r>
  </si>
  <si>
    <r>
      <rPr>
        <b val="true"/>
        <sz val="14"/>
        <color theme="1"/>
        <rFont val="Calibri"/>
        <family val="0"/>
        <charset val="1"/>
      </rPr>
      <t xml:space="preserve">The flag diameter </t>
    </r>
    <r>
      <rPr>
        <i val="true"/>
        <sz val="14"/>
        <color theme="1"/>
        <rFont val="Calibri"/>
        <family val="0"/>
        <charset val="1"/>
      </rPr>
      <t xml:space="preserve">d (m)</t>
    </r>
    <r>
      <rPr>
        <b val="true"/>
        <sz val="14"/>
        <color theme="1"/>
        <rFont val="Calibri"/>
        <family val="0"/>
        <charset val="1"/>
      </rPr>
      <t xml:space="preserve"> =</t>
    </r>
  </si>
  <si>
    <r>
      <rPr>
        <b val="true"/>
        <sz val="12"/>
        <color theme="1"/>
        <rFont val="Times New Roman"/>
        <family val="0"/>
        <charset val="1"/>
      </rPr>
      <t xml:space="preserve">Displacement from equilibrum postion 
</t>
    </r>
    <r>
      <rPr>
        <i val="true"/>
        <sz val="12"/>
        <color theme="1"/>
        <rFont val="Times New Roman"/>
        <family val="0"/>
        <charset val="1"/>
      </rPr>
      <t xml:space="preserve">x (m) </t>
    </r>
  </si>
  <si>
    <r>
      <rPr>
        <b val="true"/>
        <sz val="12"/>
        <color theme="1"/>
        <rFont val="Times New Roman"/>
        <family val="0"/>
        <charset val="1"/>
      </rPr>
      <t xml:space="preserve">Time to cut  the light gate
</t>
    </r>
    <r>
      <rPr>
        <sz val="12"/>
        <color theme="1"/>
        <rFont val="Times New Roman"/>
        <family val="0"/>
        <charset val="1"/>
      </rPr>
      <t xml:space="preserve">Δ</t>
    </r>
    <r>
      <rPr>
        <i val="true"/>
        <sz val="12"/>
        <color theme="1"/>
        <rFont val="Times New Roman"/>
        <family val="0"/>
        <charset val="1"/>
      </rPr>
      <t xml:space="preserve">t (s)</t>
    </r>
  </si>
  <si>
    <t xml:space="preserve">Trial 1</t>
  </si>
  <si>
    <t xml:space="preserve">Trial 2</t>
  </si>
  <si>
    <t xml:space="preserve">Trial 3</t>
  </si>
  <si>
    <t xml:space="preserve">Average value</t>
  </si>
  <si>
    <t xml:space="preserve">The uncertinity in time </t>
  </si>
  <si>
    <r>
      <rPr>
        <b val="true"/>
        <sz val="12"/>
        <color theme="1"/>
        <rFont val="Times New Roman"/>
        <family val="0"/>
        <charset val="1"/>
      </rPr>
      <t xml:space="preserve">The instantaneous speed </t>
    </r>
    <r>
      <rPr>
        <i val="true"/>
        <sz val="12"/>
        <color theme="1"/>
        <rFont val="Times New Roman"/>
        <family val="0"/>
        <charset val="1"/>
      </rPr>
      <t xml:space="preserve">v (m/sec</t>
    </r>
    <r>
      <rPr>
        <b val="true"/>
        <sz val="12"/>
        <color theme="1"/>
        <rFont val="Times New Roman"/>
        <family val="0"/>
        <charset val="1"/>
      </rPr>
      <t xml:space="preserve">) =</t>
    </r>
  </si>
  <si>
    <t xml:space="preserve">The uncertinity in speed</t>
  </si>
  <si>
    <r>
      <rPr>
        <b val="true"/>
        <sz val="12"/>
        <color theme="1"/>
        <rFont val="Times New Roman"/>
        <family val="0"/>
        <charset val="1"/>
      </rPr>
      <t xml:space="preserve">Displacement from equilibrum postion 
</t>
    </r>
    <r>
      <rPr>
        <i val="true"/>
        <sz val="12"/>
        <color theme="1"/>
        <rFont val="Times New Roman"/>
        <family val="0"/>
        <charset val="1"/>
      </rPr>
      <t xml:space="preserve">x (m)</t>
    </r>
    <r>
      <rPr>
        <b val="true"/>
        <sz val="12"/>
        <color theme="1"/>
        <rFont val="Times New Roman"/>
        <family val="0"/>
        <charset val="1"/>
      </rPr>
      <t xml:space="preserve"> </t>
    </r>
  </si>
  <si>
    <r>
      <rPr>
        <b val="true"/>
        <sz val="12"/>
        <color theme="1"/>
        <rFont val="Times New Roman"/>
        <family val="0"/>
        <charset val="1"/>
      </rPr>
      <t xml:space="preserve">The instantaneous speed </t>
    </r>
    <r>
      <rPr>
        <i val="true"/>
        <sz val="12"/>
        <color theme="1"/>
        <rFont val="Times New Roman"/>
        <family val="0"/>
        <charset val="1"/>
      </rPr>
      <t xml:space="preserve">v (m/sec)</t>
    </r>
    <r>
      <rPr>
        <b val="true"/>
        <sz val="12"/>
        <color theme="1"/>
        <rFont val="Times New Roman"/>
        <family val="0"/>
        <charset val="1"/>
      </rPr>
      <t xml:space="preserve"> = </t>
    </r>
  </si>
  <si>
    <t xml:space="preserve">Measured value of the slope</t>
  </si>
  <si>
    <t xml:space="preserve">Theortical value of the slope</t>
  </si>
  <si>
    <t xml:space="preserve">Relative error</t>
  </si>
  <si>
    <t xml:space="preserve">Task 3</t>
  </si>
  <si>
    <t xml:space="preserve">Relation between Velocity and Mass  with constant Displacement  from
Equilibrium</t>
  </si>
  <si>
    <r>
      <rPr>
        <b val="true"/>
        <sz val="14"/>
        <color theme="1"/>
        <rFont val="Calibri"/>
        <family val="0"/>
        <charset val="1"/>
      </rPr>
      <t xml:space="preserve">Mass of the holder</t>
    </r>
    <r>
      <rPr>
        <i val="true"/>
        <sz val="14"/>
        <color theme="1"/>
        <rFont val="Calibri"/>
        <family val="0"/>
        <charset val="1"/>
      </rPr>
      <t xml:space="preserve">(kg)</t>
    </r>
    <r>
      <rPr>
        <b val="true"/>
        <sz val="14"/>
        <color theme="1"/>
        <rFont val="Calibri"/>
        <family val="0"/>
        <charset val="1"/>
      </rPr>
      <t xml:space="preserve"> =</t>
    </r>
  </si>
  <si>
    <r>
      <rPr>
        <b val="true"/>
        <sz val="14"/>
        <color theme="1"/>
        <rFont val="Calibri"/>
        <family val="0"/>
        <charset val="1"/>
      </rPr>
      <t xml:space="preserve">Displacement  from
Equilibrium </t>
    </r>
    <r>
      <rPr>
        <i val="true"/>
        <sz val="14"/>
        <color theme="1"/>
        <rFont val="Calibri"/>
        <family val="0"/>
        <charset val="1"/>
      </rPr>
      <t xml:space="preserve">x (m)</t>
    </r>
    <r>
      <rPr>
        <b val="true"/>
        <sz val="14"/>
        <color theme="1"/>
        <rFont val="Calibri"/>
        <family val="0"/>
        <charset val="1"/>
      </rPr>
      <t xml:space="preserve"> =</t>
    </r>
  </si>
  <si>
    <t xml:space="preserve">equliprium position</t>
  </si>
  <si>
    <r>
      <rPr>
        <b val="true"/>
        <sz val="12"/>
        <color theme="1"/>
        <rFont val="Times New Roman"/>
        <family val="0"/>
        <charset val="1"/>
      </rPr>
      <t xml:space="preserve">Added Masses 
</t>
    </r>
    <r>
      <rPr>
        <i val="true"/>
        <sz val="12"/>
        <color theme="1"/>
        <rFont val="Times New Roman"/>
        <family val="0"/>
        <charset val="1"/>
      </rPr>
      <t xml:space="preserve"> (kg)</t>
    </r>
  </si>
  <si>
    <r>
      <rPr>
        <b val="true"/>
        <sz val="12"/>
        <color theme="1"/>
        <rFont val="Times New Roman"/>
        <family val="0"/>
        <charset val="1"/>
      </rPr>
      <t xml:space="preserve">Inverse of Total mass </t>
    </r>
    <r>
      <rPr>
        <i val="true"/>
        <sz val="12"/>
        <color theme="1"/>
        <rFont val="Times New Roman"/>
        <family val="0"/>
        <charset val="1"/>
      </rPr>
      <t xml:space="preserve">1/m(1/kg)</t>
    </r>
  </si>
  <si>
    <r>
      <rPr>
        <b val="true"/>
        <sz val="12"/>
        <color theme="1"/>
        <rFont val="Times New Roman"/>
        <family val="0"/>
        <charset val="1"/>
      </rPr>
      <t xml:space="preserve">The instantaneous speed squared </t>
    </r>
    <r>
      <rPr>
        <i val="true"/>
        <sz val="12"/>
        <color theme="1"/>
        <rFont val="Times New Roman"/>
        <family val="0"/>
        <charset val="1"/>
      </rPr>
      <t xml:space="preserve"> v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(m/sec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  <r>
      <rPr>
        <b val="true"/>
        <sz val="12"/>
        <color theme="1"/>
        <rFont val="Times New Roman"/>
        <family val="0"/>
        <charset val="1"/>
      </rPr>
      <t xml:space="preserve"> = </t>
    </r>
  </si>
  <si>
    <t xml:space="preserve">Discussion questions</t>
  </si>
  <si>
    <t xml:space="preserve">Answer the following questions :</t>
  </si>
  <si>
    <t xml:space="preserve">Discussion Questions   (2/10) =</t>
  </si>
  <si>
    <t xml:space="preserve">1) At what point(s) of the motion is the total potential energy maximum</t>
  </si>
  <si>
    <t xml:space="preserve">Q1</t>
  </si>
  <si>
    <t xml:space="preserve">2)  At what point(s) of the motion is the acceleration maximum?</t>
  </si>
  <si>
    <t xml:space="preserve">Q2</t>
  </si>
  <si>
    <t xml:space="preserve">Write your answer and justification here</t>
  </si>
  <si>
    <t xml:space="preserve">Report</t>
  </si>
  <si>
    <t xml:space="preserve">1) What are the objectives of this experiment?</t>
  </si>
  <si>
    <t xml:space="preserve">Report (2/10) =</t>
  </si>
  <si>
    <t xml:space="preserve">2) What are the theoritical principles introduced to buit the setup of the experiment?</t>
  </si>
  <si>
    <t xml:space="preserve">3) What are the precautions required to properly conduct the experiment?</t>
  </si>
  <si>
    <t xml:space="preserve">4) What is your conclusion? ((Add your graphs with your own comments on it and Describe the possible sources of errors)</t>
  </si>
  <si>
    <t xml:space="preserve">Lab</t>
  </si>
  <si>
    <t xml:space="preserve">Classical or EM</t>
  </si>
  <si>
    <t xml:space="preserve">Experiment Number</t>
  </si>
  <si>
    <t xml:space="preserve">Experiment Name</t>
  </si>
  <si>
    <t xml:space="preserve">TA graded the experiment</t>
  </si>
  <si>
    <t xml:space="preserve">Name:</t>
  </si>
  <si>
    <t xml:space="preserve">ID:</t>
  </si>
  <si>
    <t xml:space="preserve">Email</t>
  </si>
  <si>
    <t xml:space="preserve">File Name:</t>
  </si>
  <si>
    <t xml:space="preserve">Grade email title:</t>
  </si>
  <si>
    <t xml:space="preserve">Task (1)</t>
  </si>
  <si>
    <t xml:space="preserve">Grades</t>
  </si>
  <si>
    <t xml:space="preserve">Comments</t>
  </si>
  <si>
    <t xml:space="preserve">Find
(0.5 Point)</t>
  </si>
  <si>
    <t xml:space="preserve">Correct
(0.5 Point)</t>
  </si>
  <si>
    <t xml:space="preserve">All data taken (1 Point) =</t>
  </si>
  <si>
    <t xml:space="preserve">Reduc his point, if the colmuns not filled with data</t>
  </si>
  <si>
    <t xml:space="preserve">Fake Data (1 Point) =</t>
  </si>
  <si>
    <t xml:space="preserve">Reduce his points, if the data taken not given by measuring tool in Lab</t>
  </si>
  <si>
    <t xml:space="preserve">Data Range (1 Point) =</t>
  </si>
  <si>
    <t xml:space="preserve">Reduce his points, if the range choosen by student not show the phenomena</t>
  </si>
  <si>
    <t xml:space="preserve">Data Unit (1 Point) =</t>
  </si>
  <si>
    <t xml:space="preserve">Reduce his points, if the unit titled the column of data not working with data itself</t>
  </si>
  <si>
    <t xml:space="preserve">Exp data (4/10) =</t>
  </si>
  <si>
    <t xml:space="preserve">Using Function (1 Point) =</t>
  </si>
  <si>
    <t xml:space="preserve">Student use Excel functions to processing the data</t>
  </si>
  <si>
    <t xml:space="preserve">Using Round (1 Point) =</t>
  </si>
  <si>
    <t xml:space="preserve">Student use round function in right way</t>
  </si>
  <si>
    <t xml:space="preserve">Data Processing (1/10)=</t>
  </si>
  <si>
    <t xml:space="preserve">Axes Titles (1 Point) =</t>
  </si>
  <si>
    <t xml:space="preserve">The axis titles contain the sample and the unit of the physical parameter represented</t>
  </si>
  <si>
    <t xml:space="preserve">Set Intercept (1 Point) =</t>
  </si>
  <si>
    <t xml:space="preserve">The line pass through origin (or other specified point)</t>
  </si>
  <si>
    <t xml:space="preserve">Display Equation (1 Point) =</t>
  </si>
  <si>
    <t xml:space="preserve">The equation displayed on the curve</t>
  </si>
  <si>
    <t xml:space="preserve">Error Bars (1 Point) =</t>
  </si>
  <si>
    <t xml:space="preserve">The error displayed on the curve in right way</t>
  </si>
  <si>
    <t xml:space="preserve">Graphes (1/10) =</t>
  </si>
  <si>
    <t xml:space="preserve">Measured Slope (1 Point) =</t>
  </si>
  <si>
    <t xml:space="preserve">Student use curve to have the measured slope</t>
  </si>
  <si>
    <t xml:space="preserve">Measured Value (1 Point) =</t>
  </si>
  <si>
    <t xml:space="preserve">student use excel functions to calculate the Measured value using slope</t>
  </si>
  <si>
    <t xml:space="preserve">Theoritical Value  (1 Point) =</t>
  </si>
  <si>
    <t xml:space="preserve">Relative Error (1 Point) =</t>
  </si>
  <si>
    <t xml:space="preserve">Relative error working in the Lab range and student describe his error</t>
  </si>
  <si>
    <t xml:space="preserve">Error columns (1 Point) =</t>
  </si>
  <si>
    <t xml:space="preserve">The error in the data represented in column</t>
  </si>
  <si>
    <t xml:space="preserve">Error propagation (1 Point) =</t>
  </si>
  <si>
    <t xml:space="preserve">Student calculates the error in the data he will use in the graph</t>
  </si>
  <si>
    <t xml:space="preserve">Errors (1/10) = </t>
  </si>
  <si>
    <t xml:space="preserve">Experimental Analysis (4/10) =</t>
  </si>
  <si>
    <t xml:space="preserve">Total for Task 1 (8/10) =</t>
  </si>
  <si>
    <t xml:space="preserve">Task (2)</t>
  </si>
  <si>
    <t xml:space="preserve">Total for Task 2 (8/10) =</t>
  </si>
  <si>
    <t xml:space="preserve">Task (3)</t>
  </si>
  <si>
    <t xml:space="preserve">Total for Task 3 (8/10) =</t>
  </si>
  <si>
    <t xml:space="preserve">Discussion Questions</t>
  </si>
  <si>
    <t xml:space="preserve">Q 1 =</t>
  </si>
  <si>
    <t xml:space="preserve">Q 2 =</t>
  </si>
  <si>
    <t xml:space="preserve">Q 3 =</t>
  </si>
  <si>
    <t xml:space="preserve">Q 4 =</t>
  </si>
  <si>
    <t xml:space="preserve">Discussion Questions (2/10) =</t>
  </si>
  <si>
    <t xml:space="preserve">Division of final grades</t>
  </si>
  <si>
    <t xml:space="preserve">Quiz (1/10) =</t>
  </si>
  <si>
    <t xml:space="preserve">Oral quesitons (1/10) =</t>
  </si>
  <si>
    <t xml:space="preserve">Taking a full measure (1/10) =</t>
  </si>
  <si>
    <t xml:space="preserve">Data is complete (1/10) =</t>
  </si>
  <si>
    <t xml:space="preserve">Calculations (0.5/10) =</t>
  </si>
  <si>
    <t xml:space="preserve">Significant figures (0.5/10) =</t>
  </si>
  <si>
    <t xml:space="preserve">Error analysis (0.5/10) =</t>
  </si>
  <si>
    <t xml:space="preserve">Graphs  (1/10) =</t>
  </si>
  <si>
    <t xml:space="preserve">Verifications  (0.5/10) =</t>
  </si>
  <si>
    <t xml:space="preserve">Reports (1/10) =</t>
  </si>
  <si>
    <t xml:space="preserve">Bouns =</t>
  </si>
  <si>
    <t xml:space="preserve">Penalty =</t>
  </si>
  <si>
    <t xml:space="preserve">Final Total Grade (10/10) =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</si>
</sst>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/d/yyyy"/>
    <numFmt numFmtId="166" formatCode="0.00"/>
    <numFmt numFmtId="167" formatCode="0.000"/>
  </numFmts>
  <fonts count="36">
    <font>
      <sz val="11"/>
      <color theme="1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theme="1"/>
      <name val="Times New Roman"/>
      <family val="0"/>
      <charset val="1"/>
    </font>
    <font>
      <b val="true"/>
      <sz val="14"/>
      <color theme="1"/>
      <name val="Times New Roman"/>
      <family val="0"/>
      <charset val="1"/>
    </font>
    <font>
      <sz val="12"/>
      <color theme="1"/>
      <name val="Calibri"/>
      <family val="0"/>
      <charset val="1"/>
    </font>
    <font>
      <sz val="12"/>
      <color theme="1"/>
      <name val="Times New Roman"/>
      <family val="0"/>
      <charset val="1"/>
    </font>
    <font>
      <u val="single"/>
      <sz val="11"/>
      <color theme="10"/>
      <name val="Calibri"/>
      <family val="0"/>
      <charset val="1"/>
    </font>
    <font>
      <b val="true"/>
      <u val="single"/>
      <sz val="14"/>
      <color theme="10"/>
      <name val="Times New Roman"/>
      <family val="0"/>
      <charset val="1"/>
    </font>
    <font>
      <sz val="11"/>
      <color rgb="FF222222"/>
      <name val="Roboto"/>
      <family val="0"/>
      <charset val="1"/>
    </font>
    <font>
      <sz val="16"/>
      <color theme="1"/>
      <name val="Times New Roman"/>
      <family val="0"/>
      <charset val="1"/>
    </font>
    <font>
      <sz val="11"/>
      <color rgb="FFFF0000"/>
      <name val="Calibri"/>
      <family val="0"/>
      <charset val="1"/>
    </font>
    <font>
      <b val="true"/>
      <sz val="11"/>
      <color theme="1"/>
      <name val="Calibri"/>
      <family val="0"/>
      <charset val="1"/>
    </font>
    <font>
      <b val="true"/>
      <sz val="14"/>
      <color theme="1"/>
      <name val="Calibri"/>
      <family val="0"/>
      <charset val="1"/>
    </font>
    <font>
      <b val="true"/>
      <sz val="24"/>
      <color theme="1"/>
      <name val="Calibri"/>
      <family val="0"/>
      <charset val="1"/>
    </font>
    <font>
      <b val="true"/>
      <sz val="18"/>
      <color theme="1"/>
      <name val="Calibri"/>
      <family val="0"/>
      <charset val="1"/>
    </font>
    <font>
      <b val="true"/>
      <sz val="10"/>
      <color theme="1"/>
      <name val="Times New Roman"/>
      <family val="0"/>
      <charset val="1"/>
    </font>
    <font>
      <b val="true"/>
      <sz val="12"/>
      <color theme="1"/>
      <name val="Times New Roman"/>
      <family val="0"/>
      <charset val="1"/>
    </font>
    <font>
      <i val="true"/>
      <sz val="12"/>
      <color theme="1"/>
      <name val="Times New Roman"/>
      <family val="0"/>
      <charset val="1"/>
    </font>
    <font>
      <sz val="14"/>
      <color theme="1"/>
      <name val="Times New Roman"/>
      <family val="0"/>
      <charset val="1"/>
    </font>
    <font>
      <i val="true"/>
      <sz val="11"/>
      <color theme="1"/>
      <name val="Calibri"/>
      <family val="0"/>
      <charset val="1"/>
    </font>
    <font>
      <i val="true"/>
      <sz val="14"/>
      <color theme="1"/>
      <name val="Calibri"/>
      <family val="0"/>
      <charset val="1"/>
    </font>
    <font>
      <sz val="18"/>
      <color theme="1"/>
      <name val="Calibri"/>
      <family val="0"/>
      <charset val="1"/>
    </font>
    <font>
      <i val="true"/>
      <vertAlign val="superscript"/>
      <sz val="12"/>
      <color theme="1"/>
      <name val="Times New Roman"/>
      <family val="0"/>
      <charset val="1"/>
    </font>
    <font>
      <sz val="8"/>
      <color theme="1"/>
      <name val="Calibri"/>
      <family val="0"/>
    </font>
    <font>
      <b val="true"/>
      <sz val="12"/>
      <color theme="1"/>
      <name val="Calibri"/>
      <family val="0"/>
      <charset val="1"/>
    </font>
    <font>
      <sz val="14"/>
      <color rgb="FFA5A5A5"/>
      <name val="Times New Roman"/>
      <family val="0"/>
      <charset val="1"/>
    </font>
    <font>
      <sz val="14"/>
      <color rgb="FFBFBFBF"/>
      <name val="Times New Roman"/>
      <family val="0"/>
      <charset val="1"/>
    </font>
    <font>
      <sz val="11"/>
      <color theme="1"/>
      <name val="Arial"/>
      <family val="0"/>
      <charset val="1"/>
    </font>
    <font>
      <b val="true"/>
      <sz val="18"/>
      <color theme="1"/>
      <name val="Times New Roman"/>
      <family val="0"/>
      <charset val="1"/>
    </font>
    <font>
      <b val="true"/>
      <sz val="11"/>
      <color theme="1"/>
      <name val="Times New Roman"/>
      <family val="0"/>
      <charset val="1"/>
    </font>
    <font>
      <b val="true"/>
      <u val="single"/>
      <sz val="11"/>
      <color theme="10"/>
      <name val="Calibri"/>
      <family val="0"/>
      <charset val="1"/>
    </font>
    <font>
      <b val="true"/>
      <sz val="10"/>
      <color rgb="FFFF0000"/>
      <name val="Calibri"/>
      <family val="0"/>
      <charset val="1"/>
    </font>
    <font>
      <b val="true"/>
      <sz val="10"/>
      <color theme="1"/>
      <name val="Calibri"/>
      <family val="0"/>
      <charset val="1"/>
    </font>
    <font>
      <b val="true"/>
      <sz val="16"/>
      <color theme="1"/>
      <name val="Calibri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CCC0D9"/>
        <bgColor rgb="FFBFBFBF"/>
      </patternFill>
    </fill>
    <fill>
      <patternFill patternType="solid">
        <fgColor rgb="FFDBE5F1"/>
        <bgColor rgb="FFE5DFEC"/>
      </patternFill>
    </fill>
    <fill>
      <patternFill patternType="solid">
        <fgColor rgb="FFF2DBDB"/>
        <bgColor rgb="FFE5DFEC"/>
      </patternFill>
    </fill>
    <fill>
      <patternFill patternType="solid">
        <fgColor rgb="FFFBD4B4"/>
        <bgColor rgb="FFF2DBDB"/>
      </patternFill>
    </fill>
    <fill>
      <patternFill patternType="solid">
        <fgColor rgb="FFD8D8D8"/>
        <bgColor rgb="FFE5DFEC"/>
      </patternFill>
    </fill>
    <fill>
      <patternFill patternType="solid">
        <fgColor theme="1"/>
        <bgColor rgb="FF0C0C0C"/>
      </patternFill>
    </fill>
    <fill>
      <patternFill patternType="solid">
        <fgColor rgb="FFFF0000"/>
        <bgColor rgb="FF993300"/>
      </patternFill>
    </fill>
    <fill>
      <patternFill patternType="solid">
        <fgColor rgb="FFE5DFEC"/>
        <bgColor rgb="FFDBE5F1"/>
      </patternFill>
    </fill>
    <fill>
      <patternFill patternType="solid">
        <fgColor theme="0"/>
        <bgColor rgb="FFDBE5F1"/>
      </patternFill>
    </fill>
    <fill>
      <patternFill patternType="solid">
        <fgColor rgb="FF92D050"/>
        <bgColor rgb="FFA5A5A5"/>
      </patternFill>
    </fill>
    <fill>
      <patternFill patternType="solid">
        <fgColor rgb="FFD6E3BC"/>
        <bgColor rgb="FFD8D8D8"/>
      </patternFill>
    </fill>
    <fill>
      <patternFill patternType="solid">
        <fgColor rgb="FFB8CCE4"/>
        <bgColor rgb="FFCCC0D9"/>
      </patternFill>
    </fill>
    <fill>
      <patternFill patternType="solid">
        <fgColor rgb="FFFFFF00"/>
        <bgColor rgb="FFFFFF00"/>
      </patternFill>
    </fill>
  </fills>
  <borders count="35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>
        <color rgb="FF0C0C0C"/>
      </left>
      <right style="medium">
        <color rgb="FF0C0C0C"/>
      </right>
      <top style="medium">
        <color rgb="FF0C0C0C"/>
      </top>
      <bottom style="medium">
        <color rgb="FF0C0C0C"/>
      </bottom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medium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0" borderId="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8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0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3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7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7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7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3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3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3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3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2" fillId="0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3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7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8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9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9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9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2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1" fillId="3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3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3" fillId="3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2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31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3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3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2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9" borderId="2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9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2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3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5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5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9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7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0" borderId="2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1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0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7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8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3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9" borderId="3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9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11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2" borderId="2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1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12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1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3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1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3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3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4" borderId="2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1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7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DBDB"/>
      <rgbColor rgb="FFDBE5F1"/>
      <rgbColor rgb="FF660066"/>
      <rgbColor rgb="FFFF8080"/>
      <rgbColor rgb="FF0066CC"/>
      <rgbColor rgb="FFB8CCE4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5DFEC"/>
      <rgbColor rgb="FFD6E3BC"/>
      <rgbColor rgb="FFD8D8D8"/>
      <rgbColor rgb="FFCCC0D9"/>
      <rgbColor rgb="FFFF99CC"/>
      <rgbColor rgb="FFCC99FF"/>
      <rgbColor rgb="FFFBD4B4"/>
      <rgbColor rgb="FF3366FF"/>
      <rgbColor rgb="FF33CCCC"/>
      <rgbColor rgb="FF92D050"/>
      <rgbColor rgb="FFFFCC00"/>
      <rgbColor rgb="FFFF9900"/>
      <rgbColor rgb="FFFF6600"/>
      <rgbColor rgb="FF666699"/>
      <rgbColor rgb="FFA5A5A5"/>
      <rgbColor rgb="FF003366"/>
      <rgbColor rgb="FF339966"/>
      <rgbColor rgb="FF0C0C0C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0</xdr:row>
      <xdr:rowOff>0</xdr:rowOff>
    </xdr:from>
    <xdr:to>
      <xdr:col>1</xdr:col>
      <xdr:colOff>546480</xdr:colOff>
      <xdr:row>2</xdr:row>
      <xdr:rowOff>208440</xdr:rowOff>
    </xdr:to>
    <xdr:pic>
      <xdr:nvPicPr>
        <xdr:cNvPr id="1" name="image1.png"/>
        <xdr:cNvPicPr/>
      </xdr:nvPicPr>
      <xdr:blipFill>
        <a:blip r:embed="rId1"/>
        <a:stretch/>
      </xdr:blipFill>
      <xdr:spPr>
        <a:xfrm>
          <a:off x="9360" y="0"/>
          <a:ext cx="1151280" cy="1237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457200</xdr:colOff>
      <xdr:row>5</xdr:row>
      <xdr:rowOff>314280</xdr:rowOff>
    </xdr:from>
    <xdr:to>
      <xdr:col>7</xdr:col>
      <xdr:colOff>627480</xdr:colOff>
      <xdr:row>5</xdr:row>
      <xdr:rowOff>494280</xdr:rowOff>
    </xdr:to>
    <xdr:sp>
      <xdr:nvSpPr>
        <xdr:cNvPr id="2" name="Shape 3"/>
        <xdr:cNvSpPr/>
      </xdr:nvSpPr>
      <xdr:spPr>
        <a:xfrm>
          <a:off x="10495440" y="2589480"/>
          <a:ext cx="170280" cy="1800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6</xdr:col>
      <xdr:colOff>600120</xdr:colOff>
      <xdr:row>5</xdr:row>
      <xdr:rowOff>304920</xdr:rowOff>
    </xdr:from>
    <xdr:to>
      <xdr:col>6</xdr:col>
      <xdr:colOff>818280</xdr:colOff>
      <xdr:row>5</xdr:row>
      <xdr:rowOff>484920</xdr:rowOff>
    </xdr:to>
    <xdr:sp>
      <xdr:nvSpPr>
        <xdr:cNvPr id="3" name="Shape 4"/>
        <xdr:cNvSpPr/>
      </xdr:nvSpPr>
      <xdr:spPr>
        <a:xfrm>
          <a:off x="9319320" y="2580120"/>
          <a:ext cx="218160" cy="1800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638280</xdr:colOff>
      <xdr:row>20</xdr:row>
      <xdr:rowOff>95400</xdr:rowOff>
    </xdr:from>
    <xdr:to>
      <xdr:col>4</xdr:col>
      <xdr:colOff>818280</xdr:colOff>
      <xdr:row>21</xdr:row>
      <xdr:rowOff>75240</xdr:rowOff>
    </xdr:to>
    <xdr:sp>
      <xdr:nvSpPr>
        <xdr:cNvPr id="4" name="Shape 5"/>
        <xdr:cNvSpPr/>
      </xdr:nvSpPr>
      <xdr:spPr>
        <a:xfrm>
          <a:off x="7696440" y="6923520"/>
          <a:ext cx="180000" cy="1800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3</xdr:col>
      <xdr:colOff>600120</xdr:colOff>
      <xdr:row>20</xdr:row>
      <xdr:rowOff>114480</xdr:rowOff>
    </xdr:from>
    <xdr:to>
      <xdr:col>3</xdr:col>
      <xdr:colOff>780120</xdr:colOff>
      <xdr:row>21</xdr:row>
      <xdr:rowOff>94320</xdr:rowOff>
    </xdr:to>
    <xdr:sp>
      <xdr:nvSpPr>
        <xdr:cNvPr id="5" name="Shape 6"/>
        <xdr:cNvSpPr/>
      </xdr:nvSpPr>
      <xdr:spPr>
        <a:xfrm>
          <a:off x="5845680" y="6942600"/>
          <a:ext cx="180000" cy="1800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638280</xdr:colOff>
      <xdr:row>19</xdr:row>
      <xdr:rowOff>95400</xdr:rowOff>
    </xdr:from>
    <xdr:to>
      <xdr:col>4</xdr:col>
      <xdr:colOff>837360</xdr:colOff>
      <xdr:row>19</xdr:row>
      <xdr:rowOff>265680</xdr:rowOff>
    </xdr:to>
    <xdr:sp>
      <xdr:nvSpPr>
        <xdr:cNvPr id="6" name="Shape 7"/>
        <xdr:cNvSpPr/>
      </xdr:nvSpPr>
      <xdr:spPr>
        <a:xfrm>
          <a:off x="8310960" y="6969240"/>
          <a:ext cx="199080" cy="1702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lIns="0" tIns="0" rIns="0" bIns="0" anchor="t">
          <a:spAutoFit/>
        </a:bodyPr>
        <a:p>
          <a:pPr>
            <a:lnSpc>
              <a:spcPct val="100000"/>
            </a:lnSpc>
            <a:tabLst>
              <a:tab pos="0" algn="l"/>
            </a:tabLst>
          </a:pPr>
          <a:r>
            <a:rPr lang="en-US" sz="800" b="0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2</a:t>
          </a:r>
          <a:endParaRPr lang="en-US" sz="8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</xdr:col>
      <xdr:colOff>600120</xdr:colOff>
      <xdr:row>19</xdr:row>
      <xdr:rowOff>114480</xdr:rowOff>
    </xdr:from>
    <xdr:to>
      <xdr:col>3</xdr:col>
      <xdr:colOff>923040</xdr:colOff>
      <xdr:row>19</xdr:row>
      <xdr:rowOff>303840</xdr:rowOff>
    </xdr:to>
    <xdr:sp>
      <xdr:nvSpPr>
        <xdr:cNvPr id="7" name="Shape 8"/>
        <xdr:cNvSpPr/>
      </xdr:nvSpPr>
      <xdr:spPr>
        <a:xfrm>
          <a:off x="6460560" y="6988320"/>
          <a:ext cx="322920" cy="1893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 pitchFamily="0" charset="1"/>
        <a:ea typeface="Calibri" pitchFamily="0" charset="1"/>
        <a:cs typeface="Calibri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nurhassan@zewailcity.edu.eg" TargetMode="External"/><Relationship Id="rId2" Type="http://schemas.openxmlformats.org/officeDocument/2006/relationships/hyperlink" Target="mailto:mahassan@zewailcity.edu.eg" TargetMode="External"/><Relationship Id="rId3" Type="http://schemas.openxmlformats.org/officeDocument/2006/relationships/hyperlink" Target="mailto:dmohamed@zewailcity.edu.eg" TargetMode="External"/><Relationship Id="rId4" Type="http://schemas.openxmlformats.org/officeDocument/2006/relationships/hyperlink" Target="mailto:nabdullah@zewailcity.edu.eg" TargetMode="External"/><Relationship Id="rId5" Type="http://schemas.openxmlformats.org/officeDocument/2006/relationships/hyperlink" Target="mailto:rtaha@zewailcity.edu.eg" TargetMode="External"/><Relationship Id="rId6" Type="http://schemas.openxmlformats.org/officeDocument/2006/relationships/hyperlink" Target="mailto:omashal@zewailcity.edu.eg" TargetMode="External"/><Relationship Id="rId7" Type="http://schemas.openxmlformats.org/officeDocument/2006/relationships/hyperlink" Target="mailto:alahmed@zewailcity.edu.eg" TargetMode="External"/><Relationship Id="rId8" Type="http://schemas.openxmlformats.org/officeDocument/2006/relationships/hyperlink" Target="mailto:s-aliadawood@zewailcity.edu.eg" TargetMode="External"/><Relationship Id="rId9" Type="http://schemas.openxmlformats.org/officeDocument/2006/relationships/hyperlink" Target="mailto:naboqara@zewailcity.edu.eg" TargetMode="External"/><Relationship Id="rId10" Type="http://schemas.openxmlformats.org/officeDocument/2006/relationships/hyperlink" Target="mailto:mkadah@zewailcity.edu.eg" TargetMode="External"/><Relationship Id="rId11" Type="http://schemas.openxmlformats.org/officeDocument/2006/relationships/hyperlink" Target="mailto:mohelal@zewailcity.edu.eg" TargetMode="External"/><Relationship Id="rId12" Type="http://schemas.openxmlformats.org/officeDocument/2006/relationships/hyperlink" Target="mailto:selsafy@zewailcity.edu.eg" TargetMode="External"/><Relationship Id="rId13" Type="http://schemas.openxmlformats.org/officeDocument/2006/relationships/hyperlink" Target="mailto:mdeyab@zewailcity.edu.eg" TargetMode="External"/><Relationship Id="rId14" Type="http://schemas.openxmlformats.org/officeDocument/2006/relationships/hyperlink" Target="mailto:aparsi@zewailcity.edu.eg" TargetMode="External"/><Relationship Id="rId15" Type="http://schemas.openxmlformats.org/officeDocument/2006/relationships/hyperlink" Target="mailto:aabdelsayed@zewailcity.edu.eg" TargetMode="External"/><Relationship Id="rId16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I100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8" min="1" style="1" width="8.71"/>
    <col collapsed="false" customWidth="true" hidden="false" outlineLevel="0" max="19" min="19" style="1" width="11"/>
    <col collapsed="false" customWidth="true" hidden="false" outlineLevel="0" max="20" min="20" style="1" width="14.57"/>
    <col collapsed="false" customWidth="true" hidden="false" outlineLevel="0" max="31" min="21" style="1" width="8.71"/>
    <col collapsed="false" customWidth="true" hidden="false" outlineLevel="0" max="32" min="32" style="1" width="9.14"/>
    <col collapsed="false" customWidth="true" hidden="false" outlineLevel="0" max="33" min="33" style="1" width="26.86"/>
    <col collapsed="false" customWidth="true" hidden="false" outlineLevel="0" max="34" min="34" style="1" width="28"/>
    <col collapsed="false" customWidth="true" hidden="false" outlineLevel="0" max="35" min="35" style="1" width="40"/>
  </cols>
  <sheetData>
    <row r="1" customFormat="false" ht="40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customFormat="false" ht="40.5" hidden="false" customHeight="tru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customFormat="false" ht="19.7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5" customFormat="false" ht="20.25" hidden="false" customHeight="true" outlineLevel="0" collapsed="false">
      <c r="D5" s="5" t="s">
        <v>3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customFormat="false" ht="20.25" hidden="false" customHeight="true" outlineLevel="0" collapsed="false">
      <c r="D6" s="6"/>
      <c r="E6" s="6"/>
      <c r="F6" s="7" t="s">
        <v>4</v>
      </c>
      <c r="G6" s="7"/>
      <c r="H6" s="7"/>
      <c r="I6" s="7" t="s">
        <v>5</v>
      </c>
      <c r="J6" s="7"/>
      <c r="K6" s="7"/>
      <c r="L6" s="7" t="s">
        <v>6</v>
      </c>
      <c r="M6" s="7"/>
      <c r="N6" s="7"/>
      <c r="O6" s="7" t="s">
        <v>7</v>
      </c>
      <c r="P6" s="7"/>
      <c r="Q6" s="7"/>
      <c r="R6" s="7" t="s">
        <v>8</v>
      </c>
      <c r="S6" s="7"/>
      <c r="T6" s="7"/>
    </row>
    <row r="7" customFormat="false" ht="15" hidden="false" customHeight="false" outlineLevel="0" collapsed="false">
      <c r="D7" s="8" t="s">
        <v>9</v>
      </c>
      <c r="E7" s="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customFormat="false" ht="15" hidden="false" customHeight="false" outlineLevel="0" collapsed="false">
      <c r="D8" s="8" t="s">
        <v>10</v>
      </c>
      <c r="E8" s="8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customFormat="false" ht="15.75" hidden="false" customHeight="true" outlineLevel="0" collapsed="false">
      <c r="D9" s="8" t="s">
        <v>11</v>
      </c>
      <c r="E9" s="8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customFormat="false" ht="15.75" hidden="false" customHeight="true" outlineLevel="0" collapsed="false">
      <c r="D10" s="8" t="s">
        <v>12</v>
      </c>
      <c r="E10" s="8"/>
      <c r="F10" s="9"/>
      <c r="G10" s="9"/>
      <c r="H10" s="9"/>
      <c r="I10" s="9"/>
      <c r="J10" s="9"/>
      <c r="K10" s="9"/>
      <c r="L10" s="7"/>
      <c r="M10" s="7"/>
      <c r="N10" s="7"/>
      <c r="O10" s="7"/>
      <c r="P10" s="7"/>
      <c r="Q10" s="7"/>
      <c r="R10" s="7"/>
      <c r="S10" s="7"/>
      <c r="T10" s="7"/>
    </row>
    <row r="11" customFormat="false" ht="15" hidden="false" customHeight="false" outlineLevel="0" collapsed="false">
      <c r="D11" s="8" t="s">
        <v>13</v>
      </c>
      <c r="E11" s="8"/>
      <c r="F11" s="10"/>
      <c r="G11" s="10"/>
      <c r="H11" s="10"/>
      <c r="I11" s="10"/>
      <c r="J11" s="10"/>
      <c r="K11" s="10"/>
      <c r="L11" s="10"/>
      <c r="M11" s="10"/>
      <c r="N11" s="10"/>
      <c r="O11" s="11"/>
      <c r="P11" s="12"/>
      <c r="Q11" s="12"/>
      <c r="R11" s="12"/>
      <c r="S11" s="12"/>
    </row>
    <row r="12" customFormat="false" ht="17.35" hidden="false" customHeight="false" outlineLevel="0" collapsed="false">
      <c r="D12" s="8" t="s">
        <v>14</v>
      </c>
      <c r="E12" s="8"/>
      <c r="F12" s="6"/>
      <c r="G12" s="6"/>
      <c r="H12" s="6"/>
      <c r="I12" s="6"/>
      <c r="J12" s="6"/>
      <c r="K12" s="6"/>
      <c r="L12" s="6"/>
      <c r="M12" s="6"/>
      <c r="N12" s="6"/>
      <c r="O12" s="11"/>
      <c r="P12" s="12"/>
      <c r="Q12" s="12"/>
      <c r="R12" s="12"/>
      <c r="S12" s="12"/>
    </row>
    <row r="13" customFormat="false" ht="15" hidden="false" customHeight="false" outlineLevel="0" collapsed="false">
      <c r="D13" s="8" t="s">
        <v>15</v>
      </c>
      <c r="E13" s="8"/>
      <c r="F13" s="7"/>
      <c r="G13" s="7"/>
      <c r="H13" s="7"/>
      <c r="I13" s="7"/>
      <c r="J13" s="7"/>
      <c r="K13" s="7"/>
      <c r="L13" s="7"/>
      <c r="M13" s="7"/>
      <c r="N13" s="7"/>
      <c r="O13" s="11"/>
      <c r="P13" s="12"/>
      <c r="Q13" s="12"/>
      <c r="R13" s="12"/>
      <c r="S13" s="12"/>
    </row>
    <row r="14" customFormat="false" ht="17.35" hidden="false" customHeight="false" outlineLevel="0" collapsed="false">
      <c r="D14" s="8" t="s">
        <v>16</v>
      </c>
      <c r="E14" s="8"/>
      <c r="F14" s="7"/>
      <c r="G14" s="7"/>
      <c r="H14" s="7"/>
      <c r="I14" s="7"/>
      <c r="J14" s="7"/>
      <c r="K14" s="7"/>
      <c r="L14" s="7"/>
      <c r="M14" s="7"/>
      <c r="N14" s="7"/>
      <c r="O14" s="11"/>
      <c r="P14" s="12"/>
      <c r="Q14" s="12"/>
      <c r="R14" s="12"/>
      <c r="S14" s="12"/>
      <c r="AG14" s="13" t="s">
        <v>14</v>
      </c>
      <c r="AH14" s="13" t="s">
        <v>16</v>
      </c>
      <c r="AI14" s="13" t="s">
        <v>17</v>
      </c>
    </row>
    <row r="15" customFormat="false" ht="17.35" hidden="false" customHeight="false" outlineLevel="0" collapsed="false">
      <c r="D15" s="8" t="s">
        <v>17</v>
      </c>
      <c r="E15" s="8"/>
      <c r="F15" s="9" t="str">
        <f aca="true">IF((F14&lt;&gt;""),OFFSET($AH$14,MATCH(F14,AH15:AH31,0),1,1),"")</f>
        <v/>
      </c>
      <c r="G15" s="9"/>
      <c r="H15" s="9"/>
      <c r="I15" s="9"/>
      <c r="J15" s="9"/>
      <c r="K15" s="9"/>
      <c r="L15" s="9"/>
      <c r="M15" s="9"/>
      <c r="N15" s="9"/>
      <c r="O15" s="11"/>
      <c r="P15" s="12"/>
      <c r="Q15" s="12"/>
      <c r="R15" s="12"/>
      <c r="S15" s="12"/>
      <c r="AG15" s="13" t="s">
        <v>18</v>
      </c>
      <c r="AH15" s="13" t="s">
        <v>19</v>
      </c>
      <c r="AI15" s="14" t="s">
        <v>20</v>
      </c>
    </row>
    <row r="16" customFormat="false" ht="17.35" hidden="false" customHeight="false" outlineLevel="0" collapsed="false">
      <c r="D16" s="8" t="s">
        <v>21</v>
      </c>
      <c r="E16" s="8"/>
      <c r="F16" s="7"/>
      <c r="G16" s="7"/>
      <c r="H16" s="7"/>
      <c r="I16" s="7"/>
      <c r="J16" s="7"/>
      <c r="K16" s="7"/>
      <c r="L16" s="7"/>
      <c r="M16" s="7"/>
      <c r="N16" s="7"/>
      <c r="O16" s="11"/>
      <c r="P16" s="12"/>
      <c r="Q16" s="12"/>
      <c r="R16" s="12"/>
      <c r="S16" s="12"/>
      <c r="AG16" s="13" t="s">
        <v>22</v>
      </c>
      <c r="AH16" s="13" t="s">
        <v>23</v>
      </c>
      <c r="AI16" s="14" t="s">
        <v>24</v>
      </c>
    </row>
    <row r="17" customFormat="false" ht="17.35" hidden="false" customHeight="false" outlineLevel="0" collapsed="false">
      <c r="D17" s="8" t="s">
        <v>25</v>
      </c>
      <c r="E17" s="8"/>
      <c r="F17" s="7"/>
      <c r="G17" s="7"/>
      <c r="H17" s="7"/>
      <c r="I17" s="7"/>
      <c r="J17" s="7"/>
      <c r="K17" s="7"/>
      <c r="L17" s="7"/>
      <c r="M17" s="7"/>
      <c r="N17" s="7"/>
      <c r="O17" s="11"/>
      <c r="P17" s="12"/>
      <c r="Q17" s="12"/>
      <c r="R17" s="12"/>
      <c r="S17" s="12"/>
      <c r="AG17" s="13" t="s">
        <v>26</v>
      </c>
      <c r="AH17" s="13" t="s">
        <v>27</v>
      </c>
      <c r="AI17" s="14" t="s">
        <v>28</v>
      </c>
    </row>
    <row r="18" customFormat="false" ht="17.35" hidden="false" customHeight="false" outlineLevel="0" collapsed="false">
      <c r="F18" s="15"/>
      <c r="G18" s="15"/>
      <c r="H18" s="16"/>
      <c r="I18" s="16"/>
      <c r="J18" s="16"/>
      <c r="K18" s="16"/>
      <c r="L18" s="16"/>
      <c r="M18" s="16"/>
      <c r="W18" s="17"/>
      <c r="AG18" s="13" t="s">
        <v>29</v>
      </c>
      <c r="AH18" s="13" t="s">
        <v>30</v>
      </c>
      <c r="AI18" s="14" t="s">
        <v>31</v>
      </c>
    </row>
    <row r="19" customFormat="false" ht="18.75" hidden="false" customHeight="true" outlineLevel="0" collapsed="false">
      <c r="E19" s="18" t="s">
        <v>32</v>
      </c>
      <c r="F19" s="18"/>
      <c r="G19" s="18"/>
      <c r="H19" s="7" t="str">
        <f aca="false">IF(AND(F7&lt;&gt;"",F8&lt;&gt;"",F9&lt;&gt;""),CONCATENATE("Section ",F9," - ",A2," - ",F7," - ",F8),"Fill your personal information above")</f>
        <v>Fill your personal information above</v>
      </c>
      <c r="I19" s="7"/>
      <c r="J19" s="7"/>
      <c r="K19" s="7"/>
      <c r="L19" s="7"/>
      <c r="M19" s="7"/>
      <c r="W19" s="17"/>
      <c r="AG19" s="13"/>
      <c r="AH19" s="13" t="s">
        <v>33</v>
      </c>
      <c r="AI19" s="14" t="s">
        <v>34</v>
      </c>
    </row>
    <row r="20" customFormat="false" ht="18.75" hidden="false" customHeight="true" outlineLevel="0" collapsed="false">
      <c r="E20" s="18"/>
      <c r="F20" s="18"/>
      <c r="G20" s="18"/>
      <c r="H20" s="7"/>
      <c r="I20" s="7"/>
      <c r="J20" s="7"/>
      <c r="K20" s="7"/>
      <c r="L20" s="7"/>
      <c r="M20" s="7"/>
      <c r="W20" s="17"/>
      <c r="AG20" s="13"/>
      <c r="AH20" s="13" t="s">
        <v>35</v>
      </c>
      <c r="AI20" s="14" t="s">
        <v>36</v>
      </c>
    </row>
    <row r="21" customFormat="false" ht="18.75" hidden="false" customHeight="true" outlineLevel="0" collapsed="false">
      <c r="A21" s="19"/>
      <c r="E21" s="20" t="s">
        <v>37</v>
      </c>
      <c r="F21" s="20"/>
      <c r="G21" s="20"/>
      <c r="H21" s="7" t="str">
        <f aca="false">IF(AND(I7&lt;&gt;"",I8&lt;&gt;"",I9&lt;&gt;""),CONCATENATE("Section ",I9," - ",A2," - ",I7," - ",I8),"Fill your personal information above")</f>
        <v>Fill your personal information above</v>
      </c>
      <c r="I21" s="7"/>
      <c r="J21" s="7"/>
      <c r="K21" s="7"/>
      <c r="L21" s="7"/>
      <c r="M21" s="7"/>
      <c r="W21" s="17"/>
      <c r="AG21" s="13"/>
      <c r="AH21" s="13" t="s">
        <v>38</v>
      </c>
      <c r="AI21" s="14" t="s">
        <v>39</v>
      </c>
    </row>
    <row r="22" customFormat="false" ht="18.75" hidden="false" customHeight="true" outlineLevel="0" collapsed="false">
      <c r="A22" s="19"/>
      <c r="E22" s="20"/>
      <c r="F22" s="20"/>
      <c r="G22" s="20"/>
      <c r="H22" s="7"/>
      <c r="I22" s="7"/>
      <c r="J22" s="7"/>
      <c r="K22" s="7"/>
      <c r="L22" s="7"/>
      <c r="M22" s="7"/>
      <c r="W22" s="17"/>
      <c r="AG22" s="13"/>
      <c r="AH22" s="13" t="s">
        <v>40</v>
      </c>
      <c r="AI22" s="14" t="s">
        <v>41</v>
      </c>
    </row>
    <row r="23" customFormat="false" ht="18.75" hidden="false" customHeight="true" outlineLevel="0" collapsed="false">
      <c r="A23" s="19"/>
      <c r="E23" s="20" t="s">
        <v>42</v>
      </c>
      <c r="F23" s="20"/>
      <c r="G23" s="20"/>
      <c r="H23" s="7" t="str">
        <f aca="false">IF(AND(L7&lt;&gt;"",L8&lt;&gt;"",L9&lt;&gt;""),CONCATENATE("Section ",L9," - ",A2," - ",L7," - ",L8),"Fill your personal information above")</f>
        <v>Fill your personal information above</v>
      </c>
      <c r="I23" s="7"/>
      <c r="J23" s="7"/>
      <c r="K23" s="7"/>
      <c r="L23" s="7"/>
      <c r="M23" s="7"/>
      <c r="W23" s="17"/>
      <c r="AG23" s="13"/>
      <c r="AH23" s="13" t="s">
        <v>43</v>
      </c>
      <c r="AI23" s="14" t="s">
        <v>44</v>
      </c>
    </row>
    <row r="24" customFormat="false" ht="18.75" hidden="false" customHeight="true" outlineLevel="0" collapsed="false">
      <c r="A24" s="19"/>
      <c r="E24" s="20"/>
      <c r="F24" s="20"/>
      <c r="G24" s="20"/>
      <c r="H24" s="7"/>
      <c r="I24" s="7"/>
      <c r="J24" s="7"/>
      <c r="K24" s="7"/>
      <c r="L24" s="7"/>
      <c r="M24" s="7"/>
      <c r="W24" s="17"/>
      <c r="AG24" s="13"/>
      <c r="AH24" s="13" t="s">
        <v>45</v>
      </c>
      <c r="AI24" s="14" t="s">
        <v>46</v>
      </c>
    </row>
    <row r="25" customFormat="false" ht="20.25" hidden="false" customHeight="true" outlineLevel="0" collapsed="false">
      <c r="A25" s="19"/>
      <c r="E25" s="20" t="s">
        <v>47</v>
      </c>
      <c r="F25" s="20"/>
      <c r="G25" s="20"/>
      <c r="H25" s="7" t="str">
        <f aca="false">IF(AND(O7&lt;&gt;"",O8&lt;&gt;"",O9&lt;&gt;""),CONCATENATE("Section ",O9," -",A2," - ",O7," - ",O8),"Fill your personal information above")</f>
        <v>Fill your personal information above</v>
      </c>
      <c r="I25" s="7"/>
      <c r="J25" s="7"/>
      <c r="K25" s="7"/>
      <c r="L25" s="7"/>
      <c r="M25" s="7"/>
      <c r="W25" s="17"/>
      <c r="AG25" s="13"/>
      <c r="AH25" s="13" t="s">
        <v>48</v>
      </c>
      <c r="AI25" s="14" t="s">
        <v>49</v>
      </c>
    </row>
    <row r="26" customFormat="false" ht="15.75" hidden="false" customHeight="true" outlineLevel="0" collapsed="false">
      <c r="E26" s="20"/>
      <c r="F26" s="20"/>
      <c r="G26" s="20"/>
      <c r="H26" s="7"/>
      <c r="I26" s="7"/>
      <c r="J26" s="7"/>
      <c r="K26" s="7"/>
      <c r="L26" s="7"/>
      <c r="M26" s="7"/>
      <c r="W26" s="17"/>
      <c r="AG26" s="13"/>
      <c r="AH26" s="13" t="s">
        <v>50</v>
      </c>
      <c r="AI26" s="14" t="s">
        <v>51</v>
      </c>
    </row>
    <row r="27" customFormat="false" ht="15.75" hidden="false" customHeight="true" outlineLevel="0" collapsed="false">
      <c r="E27" s="20" t="s">
        <v>52</v>
      </c>
      <c r="F27" s="20"/>
      <c r="G27" s="20"/>
      <c r="H27" s="7" t="str">
        <f aca="false">IF(AND(R7&lt;&gt;"",R8&lt;&gt;"",R9&lt;&gt;""),CONCATENATE("Section ",R9," - ",A2," - ",R7," - ",R8),"Fill your personal information above")</f>
        <v>Fill your personal information above</v>
      </c>
      <c r="I27" s="7"/>
      <c r="J27" s="7"/>
      <c r="K27" s="7"/>
      <c r="L27" s="7"/>
      <c r="M27" s="7"/>
      <c r="W27" s="21"/>
      <c r="Y27" s="17"/>
      <c r="AG27" s="13"/>
      <c r="AH27" s="13" t="s">
        <v>53</v>
      </c>
      <c r="AI27" s="14" t="s">
        <v>54</v>
      </c>
    </row>
    <row r="28" customFormat="false" ht="15.75" hidden="false" customHeight="true" outlineLevel="0" collapsed="false">
      <c r="E28" s="20"/>
      <c r="F28" s="20"/>
      <c r="G28" s="20"/>
      <c r="H28" s="7"/>
      <c r="I28" s="7"/>
      <c r="J28" s="7"/>
      <c r="K28" s="7"/>
      <c r="L28" s="7"/>
      <c r="M28" s="7"/>
      <c r="W28" s="21"/>
      <c r="AG28" s="13"/>
      <c r="AH28" s="13" t="s">
        <v>55</v>
      </c>
      <c r="AI28" s="14" t="s">
        <v>56</v>
      </c>
    </row>
    <row r="29" customFormat="false" ht="15.75" hidden="false" customHeight="true" outlineLevel="0" collapsed="false">
      <c r="W29" s="21"/>
      <c r="AG29" s="13"/>
      <c r="AH29" s="13" t="s">
        <v>57</v>
      </c>
      <c r="AI29" s="14" t="s">
        <v>58</v>
      </c>
    </row>
    <row r="30" customFormat="false" ht="15.75" hidden="false" customHeight="true" outlineLevel="0" collapsed="false">
      <c r="E30" s="22" t="s">
        <v>59</v>
      </c>
      <c r="F30" s="22"/>
      <c r="G30" s="22"/>
      <c r="H30" s="22"/>
      <c r="I30" s="22"/>
      <c r="J30" s="22"/>
      <c r="K30" s="22"/>
      <c r="L30" s="22"/>
      <c r="M30" s="22"/>
      <c r="N30" s="22"/>
      <c r="O30" s="23"/>
      <c r="W30" s="21"/>
      <c r="AG30" s="13"/>
      <c r="AH30" s="13" t="s">
        <v>60</v>
      </c>
      <c r="AI30" s="14" t="s">
        <v>61</v>
      </c>
    </row>
    <row r="31" customFormat="false" ht="15.75" hidden="false" customHeight="true" outlineLevel="0" collapsed="false">
      <c r="W31" s="21"/>
      <c r="AG31" s="13"/>
      <c r="AH31" s="13" t="s">
        <v>62</v>
      </c>
      <c r="AI31" s="14" t="s">
        <v>63</v>
      </c>
    </row>
    <row r="32" customFormat="false" ht="15.75" hidden="false" customHeight="true" outlineLevel="0" collapsed="false"/>
    <row r="33" customFormat="false" ht="15.75" hidden="false" customHeight="true" outlineLevel="0" collapsed="false">
      <c r="C33" s="24" t="s">
        <v>64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</row>
    <row r="34" customFormat="false" ht="15.75" hidden="false" customHeight="true" outlineLevel="0" collapsed="false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35" customFormat="false" ht="15.75" hidden="false" customHeight="true" outlineLevel="0" collapsed="false"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</row>
    <row r="36" customFormat="false" ht="15.75" hidden="false" customHeight="true" outlineLevel="0" collapsed="false"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</row>
    <row r="37" customFormat="false" ht="15.75" hidden="false" customHeight="true" outlineLevel="0" collapsed="false"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</row>
    <row r="38" customFormat="false" ht="15.75" hidden="false" customHeight="true" outlineLevel="0" collapsed="false"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</row>
    <row r="39" customFormat="false" ht="15.75" hidden="false" customHeight="true" outlineLevel="0" collapsed="false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</row>
    <row r="40" customFormat="false" ht="15.75" hidden="false" customHeight="true" outlineLevel="0" collapsed="false"/>
    <row r="41" customFormat="false" ht="15.75" hidden="false" customHeight="true" outlineLevel="0" collapsed="false">
      <c r="C41" s="27" t="s">
        <v>65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67">
    <mergeCell ref="A1:T1"/>
    <mergeCell ref="A2:T2"/>
    <mergeCell ref="A3:T3"/>
    <mergeCell ref="D5:T5"/>
    <mergeCell ref="D6:E6"/>
    <mergeCell ref="F6:H6"/>
    <mergeCell ref="I6:K6"/>
    <mergeCell ref="L6:N6"/>
    <mergeCell ref="O6:Q6"/>
    <mergeCell ref="R6:T6"/>
    <mergeCell ref="D7:E7"/>
    <mergeCell ref="F7:H7"/>
    <mergeCell ref="I7:K7"/>
    <mergeCell ref="L7:N7"/>
    <mergeCell ref="O7:Q7"/>
    <mergeCell ref="R7:T7"/>
    <mergeCell ref="D8:E8"/>
    <mergeCell ref="F8:H8"/>
    <mergeCell ref="I8:K8"/>
    <mergeCell ref="L8:N8"/>
    <mergeCell ref="O8:Q8"/>
    <mergeCell ref="R8:T8"/>
    <mergeCell ref="D9:E9"/>
    <mergeCell ref="F9:H9"/>
    <mergeCell ref="I9:K9"/>
    <mergeCell ref="L9:N9"/>
    <mergeCell ref="O9:Q9"/>
    <mergeCell ref="R9:T9"/>
    <mergeCell ref="D10:E10"/>
    <mergeCell ref="F10:H10"/>
    <mergeCell ref="I10:K10"/>
    <mergeCell ref="L10:N10"/>
    <mergeCell ref="O10:Q10"/>
    <mergeCell ref="R10:T10"/>
    <mergeCell ref="D11:E11"/>
    <mergeCell ref="F11:N11"/>
    <mergeCell ref="D12:E12"/>
    <mergeCell ref="F12:N12"/>
    <mergeCell ref="D13:E13"/>
    <mergeCell ref="F13:N13"/>
    <mergeCell ref="D14:E14"/>
    <mergeCell ref="F14:N14"/>
    <mergeCell ref="D15:E15"/>
    <mergeCell ref="F15:N15"/>
    <mergeCell ref="D16:E16"/>
    <mergeCell ref="F16:N16"/>
    <mergeCell ref="D17:E17"/>
    <mergeCell ref="F17:N17"/>
    <mergeCell ref="E19:G20"/>
    <mergeCell ref="H19:M20"/>
    <mergeCell ref="E21:G22"/>
    <mergeCell ref="H21:M22"/>
    <mergeCell ref="E23:G24"/>
    <mergeCell ref="H23:M24"/>
    <mergeCell ref="E25:G26"/>
    <mergeCell ref="H25:M26"/>
    <mergeCell ref="E27:G28"/>
    <mergeCell ref="H27:M28"/>
    <mergeCell ref="E30:N30"/>
    <mergeCell ref="C33:Q33"/>
    <mergeCell ref="C34:Q34"/>
    <mergeCell ref="C35:Q35"/>
    <mergeCell ref="C36:Q36"/>
    <mergeCell ref="C37:Q37"/>
    <mergeCell ref="C38:Q38"/>
    <mergeCell ref="C39:Q39"/>
    <mergeCell ref="C41:R41"/>
  </mergeCells>
  <dataValidations count="2">
    <dataValidation allowBlank="true" errorStyle="stop" operator="between" showDropDown="false" showErrorMessage="true" showInputMessage="false" sqref="F12" type="list">
      <formula1>$AG$15:$AG$18</formula1>
      <formula2>0</formula2>
    </dataValidation>
    <dataValidation allowBlank="true" errorStyle="stop" operator="between" showDropDown="false" showErrorMessage="true" showInputMessage="false" sqref="F14" type="list">
      <formula1>$AH$15:$AH$31</formula1>
      <formula2>0</formula2>
    </dataValidation>
  </dataValidations>
  <hyperlinks>
    <hyperlink ref="AI15" r:id="rId1" display="nurhassan@zewailcity.edu.eg"/>
    <hyperlink ref="AI16" r:id="rId2" display="mahassan@zewailcity.edu.eg"/>
    <hyperlink ref="AI17" r:id="rId3" display="dmohamed@zewailcity.edu.eg"/>
    <hyperlink ref="AI18" r:id="rId4" display="nabdullah@zewailcity.edu.eg"/>
    <hyperlink ref="AI19" r:id="rId5" display="rtaha@zewailcity.edu.eg"/>
    <hyperlink ref="AI20" r:id="rId6" display="omashal@zewailcity.edu.eg"/>
    <hyperlink ref="AI21" r:id="rId7" display="alahmed@zewailcity.edu.eg"/>
    <hyperlink ref="AI22" r:id="rId8" display="s-aliadawood@zewailcity.edu.eg"/>
    <hyperlink ref="AI24" r:id="rId9" display="naboqara@zewailcity.edu.eg"/>
    <hyperlink ref="AI25" r:id="rId10" display="mkadah@zewailcity.edu.eg"/>
    <hyperlink ref="AI26" r:id="rId11" display="mohelal@zewailcity.edu.eg"/>
    <hyperlink ref="AI27" r:id="rId12" display="selsafy@zewailcity.edu.eg"/>
    <hyperlink ref="AI29" r:id="rId13" display="mdeyab@zewailcity.edu.eg"/>
    <hyperlink ref="AI30" r:id="rId14" display="aparsi@zewailcity.edu.eg"/>
    <hyperlink ref="AI31" r:id="rId15" display="aabdelsayed@zewailcity.edu.e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00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5" min="1" style="1" width="9.86"/>
    <col collapsed="false" customWidth="true" hidden="false" outlineLevel="0" max="26" min="16" style="1" width="8.71"/>
  </cols>
  <sheetData>
    <row r="1" customFormat="false" ht="17.35" hidden="false" customHeight="false" outlineLevel="0" collapsed="false">
      <c r="A1" s="28" t="s">
        <v>66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customFormat="false" ht="15" hidden="false" customHeight="false" outlineLevel="0" collapsed="false">
      <c r="A2" s="27" t="s">
        <v>67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customFormat="false" ht="15" hidden="false" customHeight="false" outlineLevel="0" collapsed="false">
      <c r="A3" s="27" t="s">
        <v>68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customFormat="false" ht="15" hidden="false" customHeight="false" outlineLevel="0" collapsed="false">
      <c r="A4" s="27" t="s">
        <v>69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customFormat="false" ht="15" hidden="false" customHeight="false" outlineLevel="0" collapsed="false">
      <c r="A5" s="27" t="s">
        <v>70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customFormat="false" ht="15" hidden="false" customHeight="false" outlineLevel="0" collapsed="false">
      <c r="A6" s="29" t="s">
        <v>71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customFormat="false" ht="15" hidden="false" customHeight="false" outlineLevel="0" collapsed="false">
      <c r="A7" s="29" t="s">
        <v>72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customFormat="false" ht="15" hidden="false" customHeight="false" outlineLevel="0" collapsed="false">
      <c r="A8" s="27" t="s">
        <v>73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customFormat="false" ht="15" hidden="false" customHeight="false" outlineLevel="0" collapsed="false">
      <c r="A9" s="27" t="s">
        <v>74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0" customFormat="false" ht="15" hidden="false" customHeight="false" outlineLevel="0" collapsed="false">
      <c r="A10" s="27" t="s">
        <v>75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</row>
    <row r="11" customFormat="false" ht="15" hidden="false" customHeight="false" outlineLevel="0" collapsed="false">
      <c r="A11" s="30"/>
      <c r="B11" s="29" t="s">
        <v>76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customFormat="false" ht="15" hidden="false" customHeight="false" outlineLevel="0" collapsed="false">
      <c r="A12" s="30"/>
      <c r="B12" s="27" t="s">
        <v>77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</row>
    <row r="13" customFormat="false" ht="15" hidden="false" customHeight="false" outlineLevel="0" collapsed="false">
      <c r="A13" s="30"/>
      <c r="B13" s="27" t="s">
        <v>78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</row>
    <row r="14" customFormat="false" ht="15" hidden="false" customHeight="false" outlineLevel="0" collapsed="false">
      <c r="A14" s="30"/>
      <c r="B14" s="27" t="s">
        <v>79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customFormat="false" ht="15" hidden="false" customHeight="false" outlineLevel="0" collapsed="false">
      <c r="A15" s="30"/>
      <c r="B15" s="27" t="s">
        <v>80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16" customFormat="false" ht="15" hidden="false" customHeight="false" outlineLevel="0" collapsed="false">
      <c r="A16" s="30"/>
      <c r="B16" s="27" t="s">
        <v>81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</row>
    <row r="17" customFormat="false" ht="15" hidden="false" customHeight="false" outlineLevel="0" collapsed="false">
      <c r="A17" s="30"/>
      <c r="B17" s="27" t="s">
        <v>82</v>
      </c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customFormat="false" ht="15" hidden="false" customHeight="false" outlineLevel="0" collapsed="false">
      <c r="B18" s="29" t="s">
        <v>83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18">
    <mergeCell ref="A1:O1"/>
    <mergeCell ref="A2:O2"/>
    <mergeCell ref="A3:O3"/>
    <mergeCell ref="A4:O4"/>
    <mergeCell ref="A5:O5"/>
    <mergeCell ref="A6:O6"/>
    <mergeCell ref="A7:O7"/>
    <mergeCell ref="A8:O8"/>
    <mergeCell ref="A9:O9"/>
    <mergeCell ref="A10:O10"/>
    <mergeCell ref="B11:O11"/>
    <mergeCell ref="B12:O12"/>
    <mergeCell ref="B13:O13"/>
    <mergeCell ref="B14:O14"/>
    <mergeCell ref="B15:O15"/>
    <mergeCell ref="B16:O16"/>
    <mergeCell ref="B17:O17"/>
    <mergeCell ref="B18:O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true" showOutlineSymbols="true" defaultGridColor="true" view="normal" topLeftCell="A5" colorId="64" zoomScale="55" zoomScaleNormal="55" zoomScalePageLayoutView="100" workbookViewId="0">
      <selection pane="topLeft" activeCell="F12" activeCellId="0" sqref="F12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18.71"/>
    <col collapsed="false" customWidth="true" hidden="false" outlineLevel="0" max="2" min="2" style="1" width="24.14"/>
    <col collapsed="false" customWidth="true" hidden="false" outlineLevel="0" max="5" min="3" style="1" width="20.71"/>
    <col collapsed="false" customWidth="true" hidden="false" outlineLevel="0" max="9" min="6" style="1" width="18.71"/>
    <col collapsed="false" customWidth="true" hidden="false" outlineLevel="0" max="10" min="10" style="1" width="25.71"/>
    <col collapsed="false" customWidth="true" hidden="false" outlineLevel="0" max="26" min="11" style="1" width="18.71"/>
  </cols>
  <sheetData>
    <row r="1" customFormat="false" ht="29.15" hidden="false" customHeight="false" outlineLevel="0" collapsed="false">
      <c r="A1" s="31" t="s">
        <v>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2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customFormat="false" ht="54.75" hidden="false" customHeight="true" outlineLevel="0" collapsed="false">
      <c r="A2" s="34" t="s">
        <v>85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5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customFormat="false" ht="54.75" hidden="false" customHeight="true" outlineLevel="0" collapsed="false">
      <c r="A3" s="36"/>
      <c r="B3" s="36" t="n">
        <f aca="false">552-391</f>
        <v>161</v>
      </c>
      <c r="C3" s="36" t="n">
        <f aca="false">B3/1000</f>
        <v>0.161</v>
      </c>
      <c r="D3" s="36"/>
      <c r="E3" s="36"/>
      <c r="F3" s="36"/>
      <c r="G3" s="36"/>
      <c r="H3" s="36"/>
      <c r="I3" s="36"/>
      <c r="J3" s="36"/>
      <c r="K3" s="36"/>
      <c r="L3" s="37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customFormat="false" ht="19.5" hidden="false" customHeight="true" outlineLevel="0" collapsed="false">
      <c r="A4" s="38"/>
      <c r="B4" s="38"/>
      <c r="C4" s="39"/>
      <c r="D4" s="39"/>
      <c r="E4" s="39"/>
      <c r="F4" s="39"/>
      <c r="G4" s="39"/>
      <c r="H4" s="39"/>
      <c r="I4" s="39"/>
      <c r="J4" s="39"/>
      <c r="K4" s="39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customFormat="false" ht="21" hidden="false" customHeight="true" outlineLevel="0" collapsed="false">
      <c r="A5" s="38"/>
      <c r="B5" s="38"/>
      <c r="C5" s="40"/>
      <c r="D5" s="40"/>
      <c r="E5" s="40"/>
      <c r="F5" s="41"/>
      <c r="G5" s="41"/>
      <c r="H5" s="41"/>
      <c r="I5" s="40"/>
      <c r="J5" s="40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customFormat="false" ht="63.75" hidden="false" customHeight="true" outlineLevel="0" collapsed="false">
      <c r="A6" s="38"/>
      <c r="B6" s="42" t="s">
        <v>86</v>
      </c>
      <c r="C6" s="42" t="s">
        <v>87</v>
      </c>
      <c r="D6" s="42" t="s">
        <v>88</v>
      </c>
      <c r="E6" s="42" t="s">
        <v>89</v>
      </c>
      <c r="F6" s="42" t="s">
        <v>90</v>
      </c>
      <c r="G6" s="43"/>
      <c r="H6" s="44"/>
      <c r="J6" s="45" t="s">
        <v>91</v>
      </c>
      <c r="K6" s="45"/>
      <c r="L6" s="45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customFormat="false" ht="20.25" hidden="false" customHeight="true" outlineLevel="0" collapsed="false">
      <c r="A7" s="38"/>
      <c r="B7" s="18" t="n">
        <v>0.01</v>
      </c>
      <c r="C7" s="18" t="n">
        <v>0.035</v>
      </c>
      <c r="D7" s="43" t="n">
        <v>0.033</v>
      </c>
      <c r="E7" s="43" t="n">
        <v>0.031</v>
      </c>
      <c r="F7" s="43" t="n">
        <v>0.031</v>
      </c>
      <c r="G7" s="43"/>
      <c r="H7" s="43"/>
      <c r="J7" s="46" t="s">
        <v>92</v>
      </c>
      <c r="K7" s="46"/>
      <c r="L7" s="46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customFormat="false" ht="21" hidden="false" customHeight="true" outlineLevel="0" collapsed="false">
      <c r="A8" s="38"/>
      <c r="B8" s="18" t="n">
        <f aca="false">B7+0.01</f>
        <v>0.02</v>
      </c>
      <c r="C8" s="18" t="n">
        <v>0.07</v>
      </c>
      <c r="D8" s="43" t="n">
        <v>0.065</v>
      </c>
      <c r="E8" s="43" t="n">
        <v>0.064</v>
      </c>
      <c r="F8" s="43" t="n">
        <v>0.0635</v>
      </c>
      <c r="G8" s="43"/>
      <c r="H8" s="47"/>
      <c r="J8" s="48" t="s">
        <v>93</v>
      </c>
      <c r="K8" s="48"/>
      <c r="L8" s="4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customFormat="false" ht="21" hidden="false" customHeight="true" outlineLevel="0" collapsed="false">
      <c r="A9" s="38"/>
      <c r="B9" s="18" t="n">
        <f aca="false">B8+0.01</f>
        <v>0.03</v>
      </c>
      <c r="C9" s="18" t="n">
        <v>0.101</v>
      </c>
      <c r="D9" s="43" t="n">
        <v>0.088</v>
      </c>
      <c r="E9" s="43" t="n">
        <v>0.096</v>
      </c>
      <c r="F9" s="43" t="n">
        <v>0.0955</v>
      </c>
      <c r="G9" s="43"/>
      <c r="H9" s="47"/>
      <c r="J9" s="49" t="s">
        <v>94</v>
      </c>
      <c r="K9" s="49"/>
      <c r="L9" s="49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customFormat="false" ht="21" hidden="false" customHeight="true" outlineLevel="0" collapsed="false">
      <c r="A10" s="38"/>
      <c r="B10" s="18" t="n">
        <f aca="false">B9+0.01</f>
        <v>0.04</v>
      </c>
      <c r="C10" s="18" t="n">
        <v>0.132</v>
      </c>
      <c r="D10" s="43" t="n">
        <v>0.129</v>
      </c>
      <c r="E10" s="43" t="n">
        <v>0.129</v>
      </c>
      <c r="F10" s="43" t="n">
        <v>0.13</v>
      </c>
      <c r="G10" s="43"/>
      <c r="H10" s="47"/>
      <c r="J10" s="50" t="s">
        <v>95</v>
      </c>
      <c r="K10" s="50"/>
      <c r="L10" s="50" t="n">
        <f aca="false">SUM(L6:L9)</f>
        <v>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customFormat="false" ht="21" hidden="false" customHeight="true" outlineLevel="0" collapsed="false">
      <c r="A11" s="38"/>
      <c r="B11" s="18" t="n">
        <f aca="false">B10+0.01</f>
        <v>0.05</v>
      </c>
      <c r="C11" s="18" t="n">
        <v>0.163</v>
      </c>
      <c r="D11" s="43" t="n">
        <v>0.162</v>
      </c>
      <c r="E11" s="43" t="n">
        <v>0.16</v>
      </c>
      <c r="F11" s="43" t="n">
        <v>0.161</v>
      </c>
      <c r="G11" s="43"/>
      <c r="H11" s="47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customFormat="false" ht="21" hidden="false" customHeight="true" outlineLevel="0" collapsed="false">
      <c r="A12" s="38"/>
      <c r="B12" s="38"/>
      <c r="C12" s="38"/>
      <c r="D12" s="38"/>
      <c r="E12" s="38"/>
      <c r="F12" s="3"/>
      <c r="G12" s="3"/>
      <c r="H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customFormat="false" ht="21" hidden="false" customHeight="true" outlineLevel="0" collapsed="false">
      <c r="A13" s="38"/>
      <c r="B13" s="51" t="s">
        <v>96</v>
      </c>
      <c r="C13" s="47"/>
      <c r="D13" s="43" t="s">
        <v>97</v>
      </c>
      <c r="E13" s="43"/>
      <c r="F13" s="43"/>
      <c r="G13" s="43"/>
      <c r="H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customFormat="false" ht="21" hidden="false" customHeight="true" outlineLevel="0" collapsed="false">
      <c r="A14" s="38"/>
      <c r="B14" s="51" t="s">
        <v>98</v>
      </c>
      <c r="C14" s="47"/>
      <c r="D14" s="43"/>
      <c r="E14" s="43"/>
      <c r="F14" s="43"/>
      <c r="G14" s="43"/>
      <c r="H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customFormat="false" ht="21" hidden="false" customHeight="true" outlineLevel="0" collapsed="false">
      <c r="A15" s="38"/>
      <c r="B15" s="38"/>
      <c r="C15" s="38"/>
      <c r="D15" s="43"/>
      <c r="E15" s="43"/>
      <c r="F15" s="43"/>
      <c r="G15" s="43"/>
      <c r="H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customFormat="false" ht="21" hidden="false" customHeight="true" outlineLevel="0" collapsed="false">
      <c r="A16" s="38"/>
      <c r="B16" s="38"/>
      <c r="C16" s="38"/>
      <c r="D16" s="43"/>
      <c r="E16" s="43"/>
      <c r="F16" s="43"/>
      <c r="G16" s="43"/>
      <c r="H16" s="3"/>
      <c r="I16" s="3"/>
      <c r="J16" s="3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customFormat="false" ht="21" hidden="false" customHeight="true" outlineLevel="0" collapsed="false">
      <c r="A17" s="38"/>
      <c r="B17" s="38"/>
      <c r="C17" s="38"/>
      <c r="D17" s="43"/>
      <c r="E17" s="43"/>
      <c r="F17" s="43"/>
      <c r="G17" s="43"/>
      <c r="H17" s="3"/>
      <c r="I17" s="3"/>
      <c r="J17" s="3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customFormat="false" ht="21" hidden="false" customHeight="true" outlineLevel="0" collapsed="false">
      <c r="A18" s="38"/>
      <c r="B18" s="38"/>
      <c r="C18" s="38"/>
      <c r="D18" s="43"/>
      <c r="E18" s="43"/>
      <c r="F18" s="43"/>
      <c r="G18" s="43"/>
      <c r="H18" s="3"/>
      <c r="I18" s="3"/>
      <c r="J18" s="3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customFormat="false" ht="21" hidden="false" customHeight="true" outlineLevel="0" collapsed="false">
      <c r="A19" s="38"/>
      <c r="B19" s="38"/>
      <c r="C19" s="38"/>
      <c r="D19" s="43"/>
      <c r="E19" s="43"/>
      <c r="F19" s="43"/>
      <c r="G19" s="43"/>
      <c r="H19" s="3"/>
      <c r="I19" s="3"/>
      <c r="J19" s="3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customFormat="false" ht="21" hidden="false" customHeight="true" outlineLevel="0" collapsed="false">
      <c r="A20" s="38"/>
      <c r="B20" s="38"/>
      <c r="C20" s="38"/>
      <c r="D20" s="43"/>
      <c r="E20" s="43"/>
      <c r="F20" s="43"/>
      <c r="G20" s="43"/>
      <c r="H20" s="3"/>
      <c r="I20" s="3"/>
      <c r="J20" s="3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customFormat="false" ht="21" hidden="false" customHeight="true" outlineLevel="0" collapsed="false">
      <c r="A21" s="38"/>
      <c r="B21" s="38"/>
      <c r="C21" s="38"/>
      <c r="D21" s="43"/>
      <c r="E21" s="43"/>
      <c r="F21" s="43"/>
      <c r="G21" s="43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customFormat="false" ht="21" hidden="false" customHeight="true" outlineLevel="0" collapsed="false">
      <c r="A22" s="38"/>
      <c r="B22" s="38"/>
      <c r="C22" s="38"/>
      <c r="D22" s="43"/>
      <c r="E22" s="43"/>
      <c r="F22" s="43"/>
      <c r="G22" s="43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customFormat="false" ht="21" hidden="false" customHeight="true" outlineLevel="0" collapsed="false">
      <c r="A23" s="38"/>
      <c r="B23" s="38"/>
      <c r="C23" s="38"/>
      <c r="D23" s="43"/>
      <c r="E23" s="43"/>
      <c r="F23" s="43"/>
      <c r="G23" s="43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customFormat="false" ht="21" hidden="false" customHeight="true" outlineLevel="0" collapsed="false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customFormat="false" ht="21" hidden="false" customHeight="true" outlineLevel="0" collapsed="false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customFormat="false" ht="21" hidden="false" customHeight="true" outlineLevel="0" collapsed="false">
      <c r="A26" s="38"/>
      <c r="B26" s="38"/>
      <c r="C26" s="38"/>
      <c r="D26" s="38"/>
      <c r="E26" s="38"/>
      <c r="F26" s="41"/>
      <c r="G26" s="41"/>
      <c r="H26" s="41"/>
      <c r="I26" s="41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customFormat="false" ht="21" hidden="false" customHeight="true" outlineLevel="0" collapsed="false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customFormat="false" ht="21" hidden="false" customHeight="true" outlineLevel="0" collapsed="false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customFormat="false" ht="21" hidden="false" customHeight="true" outlineLevel="0" collapsed="false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customFormat="false" ht="21" hidden="false" customHeight="true" outlineLevel="0" collapsed="false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customFormat="false" ht="21" hidden="false" customHeight="true" outlineLevel="0" collapsed="false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customFormat="false" ht="21" hidden="false" customHeight="true" outlineLevel="0" collapsed="false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customFormat="false" ht="21" hidden="false" customHeight="true" outlineLevel="0" collapsed="false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customFormat="false" ht="21" hidden="false" customHeight="true" outlineLevel="0" collapsed="false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customFormat="false" ht="21" hidden="false" customHeight="true" outlineLevel="0" collapsed="false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customFormat="false" ht="21" hidden="false" customHeight="true" outlineLevel="0" collapsed="false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customFormat="false" ht="21" hidden="false" customHeight="true" outlineLevel="0" collapsed="false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customFormat="false" ht="21" hidden="false" customHeight="true" outlineLevel="0" collapsed="false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customFormat="false" ht="21" hidden="false" customHeight="true" outlineLevel="0" collapsed="false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customFormat="false" ht="21" hidden="false" customHeight="true" outlineLevel="0" collapsed="false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customFormat="false" ht="21" hidden="false" customHeight="true" outlineLevel="0" collapsed="false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customFormat="false" ht="21" hidden="false" customHeight="true" outlineLevel="0" collapsed="false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customFormat="false" ht="21" hidden="false" customHeight="true" outlineLevel="0" collapsed="false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customFormat="false" ht="21" hidden="false" customHeight="true" outlineLevel="0" collapsed="false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customFormat="false" ht="21" hidden="false" customHeight="true" outlineLevel="0" collapsed="false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customFormat="false" ht="21" hidden="false" customHeight="true" outlineLevel="0" collapsed="false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customFormat="false" ht="21" hidden="false" customHeight="true" outlineLevel="0" collapsed="false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customFormat="false" ht="21" hidden="false" customHeight="true" outlineLevel="0" collapsed="false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customFormat="false" ht="21" hidden="false" customHeight="true" outlineLevel="0" collapsed="false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customFormat="false" ht="21" hidden="false" customHeight="true" outlineLevel="0" collapsed="false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customFormat="false" ht="21" hidden="false" customHeight="true" outlineLevel="0" collapsed="false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customFormat="false" ht="21" hidden="false" customHeight="true" outlineLevel="0" collapsed="false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customFormat="false" ht="21" hidden="false" customHeight="true" outlineLevel="0" collapsed="false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customFormat="false" ht="21" hidden="false" customHeight="true" outlineLevel="0" collapsed="false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customFormat="false" ht="21" hidden="false" customHeight="true" outlineLevel="0" collapsed="false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customFormat="false" ht="21" hidden="false" customHeight="true" outlineLevel="0" collapsed="false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customFormat="false" ht="21" hidden="false" customHeight="true" outlineLevel="0" collapsed="false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customFormat="false" ht="21" hidden="false" customHeight="true" outlineLevel="0" collapsed="false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customFormat="false" ht="21" hidden="false" customHeight="true" outlineLevel="0" collapsed="false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customFormat="false" ht="21" hidden="false" customHeight="true" outlineLevel="0" collapsed="false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customFormat="false" ht="21" hidden="false" customHeight="true" outlineLevel="0" collapsed="false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customFormat="false" ht="21" hidden="false" customHeight="true" outlineLevel="0" collapsed="false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customFormat="false" ht="21" hidden="false" customHeight="true" outlineLevel="0" collapsed="false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customFormat="false" ht="21" hidden="false" customHeight="true" outlineLevel="0" collapsed="false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customFormat="false" ht="21" hidden="false" customHeight="true" outlineLevel="0" collapsed="false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customFormat="false" ht="21" hidden="false" customHeight="true" outlineLevel="0" collapsed="false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customFormat="false" ht="21" hidden="false" customHeight="true" outlineLevel="0" collapsed="false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customFormat="false" ht="21" hidden="false" customHeight="true" outlineLevel="0" collapsed="false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customFormat="false" ht="21" hidden="false" customHeight="true" outlineLevel="0" collapsed="false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customFormat="false" ht="21" hidden="false" customHeight="true" outlineLevel="0" collapsed="false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customFormat="false" ht="21" hidden="false" customHeight="true" outlineLevel="0" collapsed="false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customFormat="false" ht="21" hidden="false" customHeight="true" outlineLevel="0" collapsed="false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customFormat="false" ht="15.75" hidden="false" customHeight="true" outlineLevel="0" collapsed="false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customFormat="false" ht="15.75" hidden="false" customHeight="true" outlineLevel="0" collapsed="false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customFormat="false" ht="15.75" hidden="false" customHeight="true" outlineLevel="0" collapsed="false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customFormat="false" ht="15.75" hidden="false" customHeight="true" outlineLevel="0" collapsed="false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customFormat="false" ht="15.75" hidden="false" customHeight="true" outlineLevel="0" collapsed="false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customFormat="false" ht="15.75" hidden="false" customHeight="true" outlineLevel="0" collapsed="false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customFormat="false" ht="15.75" hidden="false" customHeight="true" outlineLevel="0" collapsed="false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customFormat="false" ht="15.75" hidden="false" customHeight="true" outlineLevel="0" collapsed="false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customFormat="false" ht="15.75" hidden="false" customHeight="true" outlineLevel="0" collapsed="false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customFormat="false" ht="15.75" hidden="false" customHeight="true" outlineLevel="0" collapsed="false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customFormat="false" ht="15.75" hidden="false" customHeight="true" outlineLevel="0" collapsed="false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customFormat="false" ht="15.75" hidden="false" customHeight="true" outlineLevel="0" collapsed="false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customFormat="false" ht="15.75" hidden="false" customHeight="true" outlineLevel="0" collapsed="false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customFormat="false" ht="15.75" hidden="false" customHeight="true" outlineLevel="0" collapsed="false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customFormat="false" ht="15.75" hidden="false" customHeight="true" outlineLevel="0" collapsed="false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customFormat="false" ht="15.75" hidden="false" customHeight="true" outlineLevel="0" collapsed="false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customFormat="false" ht="15.75" hidden="false" customHeight="true" outlineLevel="0" collapsed="false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customFormat="false" ht="15.75" hidden="false" customHeight="true" outlineLevel="0" collapsed="false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customFormat="false" ht="15.75" hidden="false" customHeight="true" outlineLevel="0" collapsed="false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customFormat="false" ht="15.75" hidden="false" customHeight="true" outlineLevel="0" collapsed="false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customFormat="false" ht="15.75" hidden="false" customHeight="true" outlineLevel="0" collapsed="false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customFormat="false" ht="15.75" hidden="false" customHeight="true" outlineLevel="0" collapsed="false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customFormat="false" ht="15.75" hidden="false" customHeight="true" outlineLevel="0" collapsed="false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customFormat="false" ht="15.75" hidden="false" customHeight="true" outlineLevel="0" collapsed="false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customFormat="false" ht="15.75" hidden="false" customHeight="true" outlineLevel="0" collapsed="false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customFormat="false" ht="15.75" hidden="false" customHeight="true" outlineLevel="0" collapsed="false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customFormat="false" ht="15.75" hidden="false" customHeight="true" outlineLevel="0" collapsed="false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customFormat="false" ht="15.75" hidden="false" customHeight="true" outlineLevel="0" collapsed="false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customFormat="false" ht="15.75" hidden="false" customHeight="tru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customFormat="false" ht="15.75" hidden="false" customHeight="true" outlineLevel="0" collapsed="false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customFormat="false" ht="15.75" hidden="false" customHeight="true" outlineLevel="0" collapsed="false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customFormat="false" ht="15.75" hidden="false" customHeight="true" outlineLevel="0" collapsed="false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customFormat="false" ht="15.75" hidden="false" customHeight="true" outlineLevel="0" collapsed="false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customFormat="false" ht="15.75" hidden="false" customHeight="true" outlineLevel="0" collapsed="false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customFormat="false" ht="15.75" hidden="false" customHeight="true" outlineLevel="0" collapsed="false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customFormat="false" ht="15.75" hidden="false" customHeight="true" outlineLevel="0" collapsed="false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customFormat="false" ht="15.75" hidden="false" customHeight="true" outlineLevel="0" collapsed="false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customFormat="false" ht="15.75" hidden="false" customHeight="true" outlineLevel="0" collapsed="false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customFormat="false" ht="15.75" hidden="false" customHeight="true" outlineLevel="0" collapsed="false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customFormat="false" ht="15.75" hidden="false" customHeight="true" outlineLevel="0" collapsed="false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customFormat="false" ht="15.75" hidden="false" customHeight="true" outlineLevel="0" collapsed="false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customFormat="false" ht="15.75" hidden="false" customHeight="true" outlineLevel="0" collapsed="false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customFormat="false" ht="15.75" hidden="false" customHeight="true" outlineLevel="0" collapsed="false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customFormat="false" ht="15.75" hidden="false" customHeight="true" outlineLevel="0" collapsed="false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customFormat="false" ht="15.75" hidden="false" customHeight="true" outlineLevel="0" collapsed="false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customFormat="false" ht="15.75" hidden="false" customHeight="true" outlineLevel="0" collapsed="false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customFormat="false" ht="15.75" hidden="false" customHeight="true" outlineLevel="0" collapsed="false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customFormat="false" ht="15.75" hidden="false" customHeight="true" outlineLevel="0" collapsed="false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customFormat="false" ht="15.75" hidden="false" customHeight="true" outlineLevel="0" collapsed="false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customFormat="false" ht="15.75" hidden="false" customHeight="true" outlineLevel="0" collapsed="false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customFormat="false" ht="15.75" hidden="false" customHeight="true" outlineLevel="0" collapsed="false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customFormat="false" ht="15.75" hidden="false" customHeight="true" outlineLevel="0" collapsed="false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customFormat="false" ht="15.75" hidden="false" customHeight="true" outlineLevel="0" collapsed="false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customFormat="false" ht="15.75" hidden="false" customHeight="true" outlineLevel="0" collapsed="false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customFormat="false" ht="15.75" hidden="false" customHeight="true" outlineLevel="0" collapsed="false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customFormat="false" ht="15.75" hidden="false" customHeight="true" outlineLevel="0" collapsed="false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customFormat="false" ht="15.75" hidden="false" customHeight="true" outlineLevel="0" collapsed="false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customFormat="false" ht="15.75" hidden="false" customHeight="true" outlineLevel="0" collapsed="false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customFormat="false" ht="15.75" hidden="false" customHeight="true" outlineLevel="0" collapsed="false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customFormat="false" ht="15.75" hidden="false" customHeight="true" outlineLevel="0" collapsed="false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customFormat="false" ht="15.75" hidden="false" customHeight="true" outlineLevel="0" collapsed="false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customFormat="false" ht="15.75" hidden="false" customHeight="true" outlineLevel="0" collapsed="false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customFormat="false" ht="15.75" hidden="false" customHeight="true" outlineLevel="0" collapsed="false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customFormat="false" ht="15.75" hidden="false" customHeight="true" outlineLevel="0" collapsed="false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customFormat="false" ht="15.75" hidden="false" customHeight="true" outlineLevel="0" collapsed="false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customFormat="false" ht="15.75" hidden="false" customHeight="true" outlineLevel="0" collapsed="false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customFormat="false" ht="15.75" hidden="false" customHeight="true" outlineLevel="0" collapsed="false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customFormat="false" ht="15.75" hidden="false" customHeight="true" outlineLevel="0" collapsed="false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customFormat="false" ht="15.75" hidden="false" customHeight="true" outlineLevel="0" collapsed="false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customFormat="false" ht="15.75" hidden="false" customHeight="true" outlineLevel="0" collapsed="false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customFormat="false" ht="15.75" hidden="false" customHeight="true" outlineLevel="0" collapsed="false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customFormat="false" ht="15.75" hidden="false" customHeight="true" outlineLevel="0" collapsed="false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customFormat="false" ht="15.75" hidden="false" customHeight="true" outlineLevel="0" collapsed="false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customFormat="false" ht="15.75" hidden="false" customHeight="true" outlineLevel="0" collapsed="false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customFormat="false" ht="15.75" hidden="false" customHeight="true" outlineLevel="0" collapsed="false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customFormat="false" ht="15.75" hidden="false" customHeight="true" outlineLevel="0" collapsed="false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customFormat="false" ht="15.75" hidden="false" customHeight="true" outlineLevel="0" collapsed="false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customFormat="false" ht="15.75" hidden="false" customHeight="true" outlineLevel="0" collapsed="false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customFormat="false" ht="15.75" hidden="false" customHeight="true" outlineLevel="0" collapsed="false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customFormat="false" ht="15.75" hidden="false" customHeight="true" outlineLevel="0" collapsed="false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customFormat="false" ht="15.75" hidden="false" customHeight="true" outlineLevel="0" collapsed="false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customFormat="false" ht="15.75" hidden="false" customHeight="true" outlineLevel="0" collapsed="false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customFormat="false" ht="15.75" hidden="false" customHeight="true" outlineLevel="0" collapsed="false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customFormat="false" ht="15.75" hidden="false" customHeight="true" outlineLevel="0" collapsed="false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customFormat="false" ht="15.75" hidden="false" customHeight="true" outlineLevel="0" collapsed="false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customFormat="false" ht="15.75" hidden="false" customHeight="true" outlineLevel="0" collapsed="false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customFormat="false" ht="15.75" hidden="false" customHeight="true" outlineLevel="0" collapsed="false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customFormat="false" ht="15.75" hidden="false" customHeight="true" outlineLevel="0" collapsed="false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customFormat="false" ht="15.75" hidden="false" customHeight="true" outlineLevel="0" collapsed="false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customFormat="false" ht="15.75" hidden="false" customHeight="true" outlineLevel="0" collapsed="false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customFormat="false" ht="15.75" hidden="false" customHeight="true" outlineLevel="0" collapsed="false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customFormat="false" ht="15.75" hidden="false" customHeight="true" outlineLevel="0" collapsed="false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customFormat="false" ht="15.75" hidden="false" customHeight="true" outlineLevel="0" collapsed="false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customFormat="false" ht="15.75" hidden="false" customHeight="true" outlineLevel="0" collapsed="false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customFormat="false" ht="15.75" hidden="false" customHeight="true" outlineLevel="0" collapsed="false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customFormat="false" ht="15.75" hidden="false" customHeight="true" outlineLevel="0" collapsed="false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customFormat="false" ht="15.75" hidden="false" customHeight="true" outlineLevel="0" collapsed="false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customFormat="false" ht="15.75" hidden="false" customHeight="true" outlineLevel="0" collapsed="false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customFormat="false" ht="15.75" hidden="false" customHeight="true" outlineLevel="0" collapsed="false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customFormat="false" ht="15.75" hidden="false" customHeight="true" outlineLevel="0" collapsed="false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customFormat="false" ht="15.75" hidden="false" customHeight="true" outlineLevel="0" collapsed="false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customFormat="false" ht="15.75" hidden="false" customHeight="true" outlineLevel="0" collapsed="false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customFormat="false" ht="15.75" hidden="false" customHeight="true" outlineLevel="0" collapsed="false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customFormat="false" ht="15.75" hidden="false" customHeight="true" outlineLevel="0" collapsed="false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customFormat="false" ht="15.75" hidden="false" customHeight="true" outlineLevel="0" collapsed="false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customFormat="false" ht="15.75" hidden="false" customHeight="true" outlineLevel="0" collapsed="false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customFormat="false" ht="15.75" hidden="false" customHeight="true" outlineLevel="0" collapsed="false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customFormat="false" ht="15.75" hidden="false" customHeight="true" outlineLevel="0" collapsed="false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customFormat="false" ht="15.75" hidden="false" customHeight="true" outlineLevel="0" collapsed="false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customFormat="false" ht="15.75" hidden="false" customHeight="true" outlineLevel="0" collapsed="false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customFormat="false" ht="15.75" hidden="false" customHeight="true" outlineLevel="0" collapsed="false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customFormat="false" ht="15.75" hidden="false" customHeight="true" outlineLevel="0" collapsed="false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customFormat="false" ht="15.75" hidden="false" customHeight="true" outlineLevel="0" collapsed="false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customFormat="false" ht="15.75" hidden="false" customHeight="true" outlineLevel="0" collapsed="false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customFormat="false" ht="15.75" hidden="false" customHeight="true" outlineLevel="0" collapsed="false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customFormat="false" ht="15.75" hidden="false" customHeight="true" outlineLevel="0" collapsed="false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customFormat="false" ht="15.75" hidden="false" customHeight="true" outlineLevel="0" collapsed="false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customFormat="false" ht="15.75" hidden="false" customHeight="true" outlineLevel="0" collapsed="false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customFormat="false" ht="15.75" hidden="false" customHeight="true" outlineLevel="0" collapsed="false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customFormat="false" ht="15.75" hidden="false" customHeight="true" outlineLevel="0" collapsed="false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customFormat="false" ht="15.75" hidden="false" customHeight="true" outlineLevel="0" collapsed="false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customFormat="false" ht="15.75" hidden="false" customHeight="true" outlineLevel="0" collapsed="false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customFormat="false" ht="15.75" hidden="false" customHeight="true" outlineLevel="0" collapsed="false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customFormat="false" ht="15.75" hidden="false" customHeight="true" outlineLevel="0" collapsed="false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customFormat="false" ht="15.75" hidden="false" customHeight="true" outlineLevel="0" collapsed="false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customFormat="false" ht="15.75" hidden="false" customHeight="true" outlineLevel="0" collapsed="false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customFormat="false" ht="15.75" hidden="false" customHeight="true" outlineLevel="0" collapsed="false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customFormat="false" ht="15.75" hidden="false" customHeight="true" outlineLevel="0" collapsed="false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customFormat="false" ht="15.75" hidden="false" customHeight="true" outlineLevel="0" collapsed="false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customFormat="false" ht="15.75" hidden="false" customHeight="true" outlineLevel="0" collapsed="false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customFormat="false" ht="15.75" hidden="false" customHeight="true" outlineLevel="0" collapsed="false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customFormat="false" ht="15.75" hidden="false" customHeight="true" outlineLevel="0" collapsed="false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customFormat="false" ht="15.75" hidden="false" customHeight="true" outlineLevel="0" collapsed="false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customFormat="false" ht="15.75" hidden="false" customHeight="true" outlineLevel="0" collapsed="false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customFormat="false" ht="15.75" hidden="false" customHeight="true" outlineLevel="0" collapsed="false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customFormat="false" ht="15.75" hidden="false" customHeight="true" outlineLevel="0" collapsed="false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customFormat="false" ht="15.75" hidden="false" customHeight="true" outlineLevel="0" collapsed="false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customFormat="false" ht="15.75" hidden="false" customHeight="true" outlineLevel="0" collapsed="false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customFormat="false" ht="15.75" hidden="false" customHeight="true" outlineLevel="0" collapsed="false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customFormat="false" ht="15.75" hidden="false" customHeight="true" outlineLevel="0" collapsed="false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customFormat="false" ht="15.75" hidden="false" customHeight="true" outlineLevel="0" collapsed="false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customFormat="false" ht="15.75" hidden="false" customHeight="true" outlineLevel="0" collapsed="false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customFormat="false" ht="15.75" hidden="false" customHeight="true" outlineLevel="0" collapsed="false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customFormat="false" ht="15.75" hidden="false" customHeight="true" outlineLevel="0" collapsed="false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customFormat="false" ht="15.75" hidden="false" customHeight="true" outlineLevel="0" collapsed="false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customFormat="false" ht="15.75" hidden="false" customHeight="true" outlineLevel="0" collapsed="false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customFormat="false" ht="15.75" hidden="false" customHeight="true" outlineLevel="0" collapsed="false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customFormat="false" ht="15.75" hidden="false" customHeight="true" outlineLevel="0" collapsed="false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customFormat="false" ht="15.75" hidden="false" customHeight="true" outlineLevel="0" collapsed="false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customFormat="false" ht="15.75" hidden="false" customHeight="true" outlineLevel="0" collapsed="false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customFormat="false" ht="15.75" hidden="false" customHeight="true" outlineLevel="0" collapsed="false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customFormat="false" ht="15.75" hidden="false" customHeight="true" outlineLevel="0" collapsed="false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customFormat="false" ht="15.75" hidden="false" customHeight="true" outlineLevel="0" collapsed="false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customFormat="false" ht="15.75" hidden="false" customHeight="true" outlineLevel="0" collapsed="false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customFormat="false" ht="15.75" hidden="false" customHeight="true" outlineLevel="0" collapsed="false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customFormat="false" ht="15.75" hidden="false" customHeight="true" outlineLevel="0" collapsed="false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customFormat="false" ht="15.75" hidden="false" customHeight="true" outlineLevel="0" collapsed="false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customFormat="false" ht="15.75" hidden="false" customHeight="true" outlineLevel="0" collapsed="false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customFormat="false" ht="15.75" hidden="false" customHeight="true" outlineLevel="0" collapsed="false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customFormat="false" ht="15.75" hidden="false" customHeight="true" outlineLevel="0" collapsed="false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customFormat="false" ht="15.75" hidden="false" customHeight="true" outlineLevel="0" collapsed="false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customFormat="false" ht="15.75" hidden="false" customHeight="true" outlineLevel="0" collapsed="false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customFormat="false" ht="15.75" hidden="false" customHeight="true" outlineLevel="0" collapsed="false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customFormat="false" ht="15.75" hidden="false" customHeight="true" outlineLevel="0" collapsed="false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customFormat="false" ht="15.75" hidden="false" customHeight="true" outlineLevel="0" collapsed="false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customFormat="false" ht="15.75" hidden="false" customHeight="true" outlineLevel="0" collapsed="false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customFormat="false" ht="15.75" hidden="false" customHeight="true" outlineLevel="0" collapsed="false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customFormat="false" ht="15.75" hidden="false" customHeight="true" outlineLevel="0" collapsed="false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customFormat="false" ht="15.75" hidden="false" customHeight="true" outlineLevel="0" collapsed="false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customFormat="false" ht="15.75" hidden="false" customHeight="true" outlineLevel="0" collapsed="false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customFormat="false" ht="15.75" hidden="false" customHeight="true" outlineLevel="0" collapsed="false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customFormat="false" ht="15.75" hidden="false" customHeight="true" outlineLevel="0" collapsed="false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customFormat="false" ht="15.75" hidden="false" customHeight="true" outlineLevel="0" collapsed="false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customFormat="false" ht="15.75" hidden="false" customHeight="true" outlineLevel="0" collapsed="false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customFormat="false" ht="15.75" hidden="false" customHeight="true" outlineLevel="0" collapsed="false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customFormat="false" ht="15.75" hidden="false" customHeight="true" outlineLevel="0" collapsed="false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customFormat="false" ht="15.75" hidden="false" customHeight="true" outlineLevel="0" collapsed="false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customFormat="false" ht="15.75" hidden="false" customHeight="true" outlineLevel="0" collapsed="false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customFormat="false" ht="15.75" hidden="false" customHeight="true" outlineLevel="0" collapsed="false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customFormat="false" ht="15.75" hidden="false" customHeight="true" outlineLevel="0" collapsed="false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customFormat="false" ht="15.75" hidden="false" customHeight="true" outlineLevel="0" collapsed="false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customFormat="false" ht="15.75" hidden="false" customHeight="true" outlineLevel="0" collapsed="false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customFormat="false" ht="15.75" hidden="false" customHeight="true" outlineLevel="0" collapsed="false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customFormat="false" ht="15.75" hidden="false" customHeight="true" outlineLevel="0" collapsed="false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customFormat="false" ht="15.75" hidden="false" customHeight="true" outlineLevel="0" collapsed="false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customFormat="false" ht="15.75" hidden="false" customHeight="true" outlineLevel="0" collapsed="false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customFormat="false" ht="15.75" hidden="false" customHeight="true" outlineLevel="0" collapsed="false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customFormat="false" ht="15.75" hidden="false" customHeight="true" outlineLevel="0" collapsed="false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customFormat="false" ht="15.75" hidden="false" customHeight="true" outlineLevel="0" collapsed="false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customFormat="false" ht="15.75" hidden="false" customHeight="true" outlineLevel="0" collapsed="false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customFormat="false" ht="15.75" hidden="false" customHeight="true" outlineLevel="0" collapsed="false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customFormat="false" ht="15.75" hidden="false" customHeight="true" outlineLevel="0" collapsed="false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customFormat="false" ht="15.75" hidden="false" customHeight="true" outlineLevel="0" collapsed="false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customFormat="false" ht="15.75" hidden="false" customHeight="true" outlineLevel="0" collapsed="false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customFormat="false" ht="15.75" hidden="false" customHeight="true" outlineLevel="0" collapsed="false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customFormat="false" ht="15.75" hidden="false" customHeight="true" outlineLevel="0" collapsed="false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customFormat="false" ht="15.75" hidden="false" customHeight="true" outlineLevel="0" collapsed="false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customFormat="false" ht="15.75" hidden="false" customHeight="true" outlineLevel="0" collapsed="false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customFormat="false" ht="15.75" hidden="false" customHeight="true" outlineLevel="0" collapsed="false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customFormat="false" ht="15.75" hidden="false" customHeight="true" outlineLevel="0" collapsed="false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customFormat="false" ht="15.75" hidden="false" customHeight="true" outlineLevel="0" collapsed="false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customFormat="false" ht="15.75" hidden="false" customHeight="true" outlineLevel="0" collapsed="false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customFormat="false" ht="15.75" hidden="false" customHeight="true" outlineLevel="0" collapsed="false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customFormat="false" ht="15.75" hidden="false" customHeight="true" outlineLevel="0" collapsed="false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customFormat="false" ht="15.75" hidden="false" customHeight="true" outlineLevel="0" collapsed="false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customFormat="false" ht="15.75" hidden="false" customHeight="true" outlineLevel="0" collapsed="false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customFormat="false" ht="15.75" hidden="false" customHeight="true" outlineLevel="0" collapsed="false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customFormat="false" ht="15.75" hidden="false" customHeight="true" outlineLevel="0" collapsed="false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customFormat="false" ht="15.75" hidden="false" customHeight="true" outlineLevel="0" collapsed="false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customFormat="false" ht="15.75" hidden="false" customHeight="true" outlineLevel="0" collapsed="false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customFormat="false" ht="15.75" hidden="false" customHeight="true" outlineLevel="0" collapsed="false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customFormat="false" ht="15.75" hidden="false" customHeight="true" outlineLevel="0" collapsed="false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customFormat="false" ht="15.75" hidden="false" customHeight="true" outlineLevel="0" collapsed="false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customFormat="false" ht="15.75" hidden="false" customHeight="true" outlineLevel="0" collapsed="false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customFormat="false" ht="15.75" hidden="false" customHeight="true" outlineLevel="0" collapsed="false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customFormat="false" ht="15.75" hidden="false" customHeight="true" outlineLevel="0" collapsed="false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customFormat="false" ht="15.75" hidden="false" customHeight="true" outlineLevel="0" collapsed="false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customFormat="false" ht="15.75" hidden="false" customHeight="true" outlineLevel="0" collapsed="false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customFormat="false" ht="15.75" hidden="false" customHeight="true" outlineLevel="0" collapsed="false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customFormat="false" ht="15.75" hidden="false" customHeight="true" outlineLevel="0" collapsed="false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customFormat="false" ht="15.75" hidden="false" customHeight="true" outlineLevel="0" collapsed="false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customFormat="false" ht="15.75" hidden="false" customHeight="true" outlineLevel="0" collapsed="false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customFormat="false" ht="15.75" hidden="false" customHeight="true" outlineLevel="0" collapsed="false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customFormat="false" ht="15.75" hidden="false" customHeight="true" outlineLevel="0" collapsed="false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customFormat="false" ht="15.75" hidden="false" customHeight="true" outlineLevel="0" collapsed="false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customFormat="false" ht="15.75" hidden="false" customHeight="true" outlineLevel="0" collapsed="false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customFormat="false" ht="15.75" hidden="false" customHeight="true" outlineLevel="0" collapsed="false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customFormat="false" ht="15.75" hidden="false" customHeight="true" outlineLevel="0" collapsed="false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customFormat="false" ht="15.75" hidden="false" customHeight="true" outlineLevel="0" collapsed="false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customFormat="false" ht="15.75" hidden="false" customHeight="true" outlineLevel="0" collapsed="false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customFormat="false" ht="15.75" hidden="false" customHeight="true" outlineLevel="0" collapsed="false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customFormat="false" ht="15.75" hidden="false" customHeight="true" outlineLevel="0" collapsed="false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customFormat="false" ht="15.75" hidden="false" customHeight="true" outlineLevel="0" collapsed="false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customFormat="false" ht="15.75" hidden="false" customHeight="true" outlineLevel="0" collapsed="false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customFormat="false" ht="15.75" hidden="false" customHeight="true" outlineLevel="0" collapsed="false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customFormat="false" ht="15.75" hidden="false" customHeight="true" outlineLevel="0" collapsed="false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customFormat="false" ht="15.75" hidden="false" customHeight="true" outlineLevel="0" collapsed="false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customFormat="false" ht="15.75" hidden="false" customHeight="true" outlineLevel="0" collapsed="false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customFormat="false" ht="15.75" hidden="false" customHeight="true" outlineLevel="0" collapsed="false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customFormat="false" ht="15.75" hidden="false" customHeight="true" outlineLevel="0" collapsed="false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customFormat="false" ht="15.75" hidden="false" customHeight="true" outlineLevel="0" collapsed="false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customFormat="false" ht="15.75" hidden="false" customHeight="true" outlineLevel="0" collapsed="false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customFormat="false" ht="15.75" hidden="false" customHeight="true" outlineLevel="0" collapsed="false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customFormat="false" ht="15.75" hidden="false" customHeight="true" outlineLevel="0" collapsed="false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customFormat="false" ht="15.75" hidden="false" customHeight="true" outlineLevel="0" collapsed="false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customFormat="false" ht="15.75" hidden="false" customHeight="true" outlineLevel="0" collapsed="false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customFormat="false" ht="15.75" hidden="false" customHeight="true" outlineLevel="0" collapsed="false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customFormat="false" ht="15.75" hidden="false" customHeight="true" outlineLevel="0" collapsed="false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customFormat="false" ht="15.75" hidden="false" customHeight="true" outlineLevel="0" collapsed="false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customFormat="false" ht="15.75" hidden="false" customHeight="true" outlineLevel="0" collapsed="false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customFormat="false" ht="15.75" hidden="false" customHeight="true" outlineLevel="0" collapsed="false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customFormat="false" ht="15.75" hidden="false" customHeight="true" outlineLevel="0" collapsed="false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customFormat="false" ht="15.75" hidden="false" customHeight="true" outlineLevel="0" collapsed="false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customFormat="false" ht="15.75" hidden="false" customHeight="true" outlineLevel="0" collapsed="false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customFormat="false" ht="15.75" hidden="false" customHeight="true" outlineLevel="0" collapsed="false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customFormat="false" ht="15.75" hidden="false" customHeight="true" outlineLevel="0" collapsed="false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customFormat="false" ht="15.75" hidden="false" customHeight="true" outlineLevel="0" collapsed="false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customFormat="false" ht="15.75" hidden="false" customHeight="true" outlineLevel="0" collapsed="false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customFormat="false" ht="15.75" hidden="false" customHeight="true" outlineLevel="0" collapsed="false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customFormat="false" ht="15.75" hidden="false" customHeight="true" outlineLevel="0" collapsed="false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customFormat="false" ht="15.75" hidden="false" customHeight="true" outlineLevel="0" collapsed="false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customFormat="false" ht="15.75" hidden="false" customHeight="true" outlineLevel="0" collapsed="false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customFormat="false" ht="15.75" hidden="false" customHeight="true" outlineLevel="0" collapsed="false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customFormat="false" ht="15.75" hidden="false" customHeight="true" outlineLevel="0" collapsed="false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customFormat="false" ht="15.75" hidden="false" customHeight="true" outlineLevel="0" collapsed="false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customFormat="false" ht="15.75" hidden="false" customHeight="true" outlineLevel="0" collapsed="false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customFormat="false" ht="15.75" hidden="false" customHeight="true" outlineLevel="0" collapsed="false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customFormat="false" ht="15.75" hidden="false" customHeight="true" outlineLevel="0" collapsed="false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customFormat="false" ht="15.75" hidden="false" customHeight="true" outlineLevel="0" collapsed="false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customFormat="false" ht="15.75" hidden="false" customHeight="true" outlineLevel="0" collapsed="false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customFormat="false" ht="15.75" hidden="false" customHeight="true" outlineLevel="0" collapsed="false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customFormat="false" ht="15.75" hidden="false" customHeight="true" outlineLevel="0" collapsed="false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customFormat="false" ht="15.75" hidden="false" customHeight="true" outlineLevel="0" collapsed="false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customFormat="false" ht="15.75" hidden="false" customHeight="true" outlineLevel="0" collapsed="false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customFormat="false" ht="15.75" hidden="false" customHeight="true" outlineLevel="0" collapsed="false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customFormat="false" ht="15.75" hidden="false" customHeight="true" outlineLevel="0" collapsed="false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customFormat="false" ht="15.75" hidden="false" customHeight="true" outlineLevel="0" collapsed="false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customFormat="false" ht="15.75" hidden="false" customHeight="true" outlineLevel="0" collapsed="false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customFormat="false" ht="15.75" hidden="false" customHeight="true" outlineLevel="0" collapsed="false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customFormat="false" ht="15.75" hidden="false" customHeight="true" outlineLevel="0" collapsed="false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customFormat="false" ht="15.75" hidden="false" customHeight="true" outlineLevel="0" collapsed="false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customFormat="false" ht="15.75" hidden="false" customHeight="true" outlineLevel="0" collapsed="false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customFormat="false" ht="15.75" hidden="false" customHeight="true" outlineLevel="0" collapsed="false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customFormat="false" ht="15.75" hidden="false" customHeight="true" outlineLevel="0" collapsed="false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customFormat="false" ht="15.75" hidden="false" customHeight="true" outlineLevel="0" collapsed="false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customFormat="false" ht="15.75" hidden="false" customHeight="true" outlineLevel="0" collapsed="false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customFormat="false" ht="15.75" hidden="false" customHeight="true" outlineLevel="0" collapsed="false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customFormat="false" ht="15.75" hidden="false" customHeight="true" outlineLevel="0" collapsed="false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customFormat="false" ht="15.75" hidden="false" customHeight="true" outlineLevel="0" collapsed="false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customFormat="false" ht="15.75" hidden="false" customHeight="true" outlineLevel="0" collapsed="false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customFormat="false" ht="15.75" hidden="false" customHeight="true" outlineLevel="0" collapsed="false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customFormat="false" ht="15.75" hidden="false" customHeight="true" outlineLevel="0" collapsed="false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customFormat="false" ht="15.75" hidden="false" customHeight="true" outlineLevel="0" collapsed="false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customFormat="false" ht="15.75" hidden="false" customHeight="true" outlineLevel="0" collapsed="false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customFormat="false" ht="15.75" hidden="false" customHeight="true" outlineLevel="0" collapsed="false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customFormat="false" ht="15.75" hidden="false" customHeight="true" outlineLevel="0" collapsed="false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customFormat="false" ht="15.75" hidden="false" customHeight="true" outlineLevel="0" collapsed="false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customFormat="false" ht="15.75" hidden="false" customHeight="true" outlineLevel="0" collapsed="false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customFormat="false" ht="15.75" hidden="false" customHeight="true" outlineLevel="0" collapsed="false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customFormat="false" ht="15.75" hidden="false" customHeight="true" outlineLevel="0" collapsed="false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customFormat="false" ht="15.75" hidden="false" customHeight="true" outlineLevel="0" collapsed="false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customFormat="false" ht="15.75" hidden="false" customHeight="true" outlineLevel="0" collapsed="false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customFormat="false" ht="15.75" hidden="false" customHeight="true" outlineLevel="0" collapsed="false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customFormat="false" ht="15.75" hidden="false" customHeight="true" outlineLevel="0" collapsed="false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customFormat="false" ht="15.75" hidden="false" customHeight="true" outlineLevel="0" collapsed="false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customFormat="false" ht="15.75" hidden="false" customHeight="true" outlineLevel="0" collapsed="false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customFormat="false" ht="15.75" hidden="false" customHeight="true" outlineLevel="0" collapsed="false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customFormat="false" ht="15.75" hidden="false" customHeight="true" outlineLevel="0" collapsed="false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customFormat="false" ht="15.75" hidden="false" customHeight="true" outlineLevel="0" collapsed="false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customFormat="false" ht="15.75" hidden="false" customHeight="true" outlineLevel="0" collapsed="false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customFormat="false" ht="15.75" hidden="false" customHeight="true" outlineLevel="0" collapsed="false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customFormat="false" ht="15.75" hidden="false" customHeight="true" outlineLevel="0" collapsed="false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customFormat="false" ht="15.75" hidden="false" customHeight="true" outlineLevel="0" collapsed="false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customFormat="false" ht="15.75" hidden="false" customHeight="true" outlineLevel="0" collapsed="false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customFormat="false" ht="15.75" hidden="false" customHeight="true" outlineLevel="0" collapsed="false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customFormat="false" ht="15.75" hidden="false" customHeight="true" outlineLevel="0" collapsed="false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customFormat="false" ht="15.75" hidden="false" customHeight="true" outlineLevel="0" collapsed="false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customFormat="false" ht="15.75" hidden="false" customHeight="true" outlineLevel="0" collapsed="false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customFormat="false" ht="15.75" hidden="false" customHeight="true" outlineLevel="0" collapsed="false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customFormat="false" ht="15.75" hidden="false" customHeight="true" outlineLevel="0" collapsed="false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customFormat="false" ht="15.75" hidden="false" customHeight="true" outlineLevel="0" collapsed="false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customFormat="false" ht="15.75" hidden="false" customHeight="true" outlineLevel="0" collapsed="false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customFormat="false" ht="15.75" hidden="false" customHeight="true" outlineLevel="0" collapsed="false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customFormat="false" ht="15.75" hidden="false" customHeight="true" outlineLevel="0" collapsed="false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customFormat="false" ht="15.75" hidden="false" customHeight="true" outlineLevel="0" collapsed="false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customFormat="false" ht="15.75" hidden="false" customHeight="true" outlineLevel="0" collapsed="false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customFormat="false" ht="15.75" hidden="false" customHeight="true" outlineLevel="0" collapsed="false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customFormat="false" ht="15.75" hidden="false" customHeight="true" outlineLevel="0" collapsed="false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customFormat="false" ht="15.75" hidden="false" customHeight="true" outlineLevel="0" collapsed="false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customFormat="false" ht="15.75" hidden="false" customHeight="true" outlineLevel="0" collapsed="false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customFormat="false" ht="15.75" hidden="false" customHeight="true" outlineLevel="0" collapsed="false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customFormat="false" ht="15.75" hidden="false" customHeight="true" outlineLevel="0" collapsed="false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customFormat="false" ht="15.75" hidden="false" customHeight="true" outlineLevel="0" collapsed="false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customFormat="false" ht="15.75" hidden="false" customHeight="true" outlineLevel="0" collapsed="false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customFormat="false" ht="15.75" hidden="false" customHeight="true" outlineLevel="0" collapsed="false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customFormat="false" ht="15.75" hidden="false" customHeight="true" outlineLevel="0" collapsed="false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customFormat="false" ht="15.75" hidden="false" customHeight="true" outlineLevel="0" collapsed="false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customFormat="false" ht="15.75" hidden="false" customHeight="true" outlineLevel="0" collapsed="false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customFormat="false" ht="15.75" hidden="false" customHeight="true" outlineLevel="0" collapsed="false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customFormat="false" ht="15.75" hidden="false" customHeight="true" outlineLevel="0" collapsed="false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customFormat="false" ht="15.75" hidden="false" customHeight="true" outlineLevel="0" collapsed="false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customFormat="false" ht="15.75" hidden="false" customHeight="true" outlineLevel="0" collapsed="false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customFormat="false" ht="15.75" hidden="false" customHeight="true" outlineLevel="0" collapsed="false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customFormat="false" ht="15.75" hidden="false" customHeight="true" outlineLevel="0" collapsed="false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customFormat="false" ht="15.75" hidden="false" customHeight="true" outlineLevel="0" collapsed="false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customFormat="false" ht="15.75" hidden="false" customHeight="true" outlineLevel="0" collapsed="false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customFormat="false" ht="15.75" hidden="false" customHeight="true" outlineLevel="0" collapsed="false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customFormat="false" ht="15.75" hidden="false" customHeight="true" outlineLevel="0" collapsed="false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customFormat="false" ht="15.75" hidden="false" customHeight="true" outlineLevel="0" collapsed="false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customFormat="false" ht="15.75" hidden="false" customHeight="true" outlineLevel="0" collapsed="false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customFormat="false" ht="15.75" hidden="false" customHeight="true" outlineLevel="0" collapsed="false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customFormat="false" ht="15.75" hidden="false" customHeight="true" outlineLevel="0" collapsed="false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customFormat="false" ht="15.75" hidden="false" customHeight="true" outlineLevel="0" collapsed="false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customFormat="false" ht="15.75" hidden="false" customHeight="true" outlineLevel="0" collapsed="false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customFormat="false" ht="15.75" hidden="false" customHeight="true" outlineLevel="0" collapsed="false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customFormat="false" ht="15.75" hidden="false" customHeight="true" outlineLevel="0" collapsed="false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customFormat="false" ht="15.75" hidden="false" customHeight="true" outlineLevel="0" collapsed="false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customFormat="false" ht="15.75" hidden="false" customHeight="true" outlineLevel="0" collapsed="false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customFormat="false" ht="15.75" hidden="false" customHeight="true" outlineLevel="0" collapsed="false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customFormat="false" ht="15.75" hidden="false" customHeight="true" outlineLevel="0" collapsed="false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customFormat="false" ht="15.75" hidden="false" customHeight="true" outlineLevel="0" collapsed="false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customFormat="false" ht="15.75" hidden="false" customHeight="true" outlineLevel="0" collapsed="false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customFormat="false" ht="15.75" hidden="false" customHeight="true" outlineLevel="0" collapsed="false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customFormat="false" ht="15.75" hidden="false" customHeight="true" outlineLevel="0" collapsed="false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customFormat="false" ht="15.75" hidden="false" customHeight="true" outlineLevel="0" collapsed="false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customFormat="false" ht="15.75" hidden="false" customHeight="true" outlineLevel="0" collapsed="false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customFormat="false" ht="15.75" hidden="false" customHeight="true" outlineLevel="0" collapsed="false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customFormat="false" ht="15.75" hidden="false" customHeight="true" outlineLevel="0" collapsed="false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customFormat="false" ht="15.75" hidden="false" customHeight="true" outlineLevel="0" collapsed="false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customFormat="false" ht="15.75" hidden="false" customHeight="true" outlineLevel="0" collapsed="false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customFormat="false" ht="15.75" hidden="false" customHeight="true" outlineLevel="0" collapsed="false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customFormat="false" ht="15.75" hidden="false" customHeight="true" outlineLevel="0" collapsed="false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customFormat="false" ht="15.75" hidden="false" customHeight="true" outlineLevel="0" collapsed="false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customFormat="false" ht="15.75" hidden="false" customHeight="true" outlineLevel="0" collapsed="false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customFormat="false" ht="15.75" hidden="false" customHeight="true" outlineLevel="0" collapsed="false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customFormat="false" ht="15.75" hidden="false" customHeight="true" outlineLevel="0" collapsed="false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customFormat="false" ht="15.75" hidden="false" customHeight="true" outlineLevel="0" collapsed="false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customFormat="false" ht="15.75" hidden="false" customHeight="true" outlineLevel="0" collapsed="false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customFormat="false" ht="15.75" hidden="false" customHeight="true" outlineLevel="0" collapsed="false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customFormat="false" ht="15.75" hidden="false" customHeight="true" outlineLevel="0" collapsed="false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customFormat="false" ht="15.75" hidden="false" customHeight="true" outlineLevel="0" collapsed="false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customFormat="false" ht="15.75" hidden="false" customHeight="true" outlineLevel="0" collapsed="false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customFormat="false" ht="15.75" hidden="false" customHeight="true" outlineLevel="0" collapsed="false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customFormat="false" ht="15.75" hidden="false" customHeight="true" outlineLevel="0" collapsed="false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customFormat="false" ht="15.75" hidden="false" customHeight="true" outlineLevel="0" collapsed="false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customFormat="false" ht="15.75" hidden="false" customHeight="true" outlineLevel="0" collapsed="false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customFormat="false" ht="15.75" hidden="false" customHeight="true" outlineLevel="0" collapsed="false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customFormat="false" ht="15.75" hidden="false" customHeight="true" outlineLevel="0" collapsed="false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customFormat="false" ht="15.75" hidden="false" customHeight="true" outlineLevel="0" collapsed="false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customFormat="false" ht="15.75" hidden="false" customHeight="true" outlineLevel="0" collapsed="false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customFormat="false" ht="15.75" hidden="false" customHeight="true" outlineLevel="0" collapsed="false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customFormat="false" ht="15.75" hidden="false" customHeight="true" outlineLevel="0" collapsed="false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customFormat="false" ht="15.75" hidden="false" customHeight="true" outlineLevel="0" collapsed="false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customFormat="false" ht="15.75" hidden="false" customHeight="true" outlineLevel="0" collapsed="false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customFormat="false" ht="15.75" hidden="false" customHeight="true" outlineLevel="0" collapsed="false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customFormat="false" ht="15.75" hidden="false" customHeight="true" outlineLevel="0" collapsed="false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customFormat="false" ht="15.75" hidden="false" customHeight="true" outlineLevel="0" collapsed="false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customFormat="false" ht="15.75" hidden="false" customHeight="true" outlineLevel="0" collapsed="false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customFormat="false" ht="15.75" hidden="false" customHeight="true" outlineLevel="0" collapsed="false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customFormat="false" ht="15.75" hidden="false" customHeight="true" outlineLevel="0" collapsed="false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customFormat="false" ht="15.75" hidden="false" customHeight="true" outlineLevel="0" collapsed="false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customFormat="false" ht="15.75" hidden="false" customHeight="true" outlineLevel="0" collapsed="false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customFormat="false" ht="15.75" hidden="false" customHeight="true" outlineLevel="0" collapsed="false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customFormat="false" ht="15.75" hidden="false" customHeight="true" outlineLevel="0" collapsed="false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customFormat="false" ht="15.75" hidden="false" customHeight="true" outlineLevel="0" collapsed="false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customFormat="false" ht="15.75" hidden="false" customHeight="true" outlineLevel="0" collapsed="false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customFormat="false" ht="15.75" hidden="false" customHeight="true" outlineLevel="0" collapsed="false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customFormat="false" ht="15.75" hidden="false" customHeight="true" outlineLevel="0" collapsed="false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customFormat="false" ht="15.75" hidden="false" customHeight="true" outlineLevel="0" collapsed="false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customFormat="false" ht="15.75" hidden="false" customHeight="true" outlineLevel="0" collapsed="false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customFormat="false" ht="15.75" hidden="false" customHeight="true" outlineLevel="0" collapsed="false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customFormat="false" ht="15.75" hidden="false" customHeight="true" outlineLevel="0" collapsed="false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customFormat="false" ht="15.75" hidden="false" customHeight="true" outlineLevel="0" collapsed="false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customFormat="false" ht="15.75" hidden="false" customHeight="true" outlineLevel="0" collapsed="false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customFormat="false" ht="15.75" hidden="false" customHeight="true" outlineLevel="0" collapsed="false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customFormat="false" ht="15.75" hidden="false" customHeight="true" outlineLevel="0" collapsed="false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customFormat="false" ht="15.75" hidden="false" customHeight="true" outlineLevel="0" collapsed="false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customFormat="false" ht="15.75" hidden="false" customHeight="true" outlineLevel="0" collapsed="false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customFormat="false" ht="15.75" hidden="false" customHeight="true" outlineLevel="0" collapsed="false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customFormat="false" ht="15.75" hidden="false" customHeight="true" outlineLevel="0" collapsed="false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customFormat="false" ht="15.75" hidden="false" customHeight="true" outlineLevel="0" collapsed="false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customFormat="false" ht="15.75" hidden="false" customHeight="true" outlineLevel="0" collapsed="false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customFormat="false" ht="15.75" hidden="false" customHeight="true" outlineLevel="0" collapsed="false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customFormat="false" ht="15.75" hidden="false" customHeight="true" outlineLevel="0" collapsed="false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customFormat="false" ht="15.75" hidden="false" customHeight="true" outlineLevel="0" collapsed="false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customFormat="false" ht="15.75" hidden="false" customHeight="true" outlineLevel="0" collapsed="false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customFormat="false" ht="15.75" hidden="false" customHeight="true" outlineLevel="0" collapsed="false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customFormat="false" ht="15.75" hidden="false" customHeight="true" outlineLevel="0" collapsed="false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customFormat="false" ht="15.75" hidden="false" customHeight="true" outlineLevel="0" collapsed="false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customFormat="false" ht="15.75" hidden="false" customHeight="true" outlineLevel="0" collapsed="false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customFormat="false" ht="15.75" hidden="false" customHeight="true" outlineLevel="0" collapsed="false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customFormat="false" ht="15.75" hidden="false" customHeight="true" outlineLevel="0" collapsed="false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customFormat="false" ht="15.75" hidden="false" customHeight="true" outlineLevel="0" collapsed="false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customFormat="false" ht="15.75" hidden="false" customHeight="true" outlineLevel="0" collapsed="false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customFormat="false" ht="15.75" hidden="false" customHeight="true" outlineLevel="0" collapsed="false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customFormat="false" ht="15.75" hidden="false" customHeight="true" outlineLevel="0" collapsed="false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customFormat="false" ht="15.75" hidden="false" customHeight="true" outlineLevel="0" collapsed="false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customFormat="false" ht="15.75" hidden="false" customHeight="true" outlineLevel="0" collapsed="false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customFormat="false" ht="15.75" hidden="false" customHeight="true" outlineLevel="0" collapsed="false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customFormat="false" ht="15.75" hidden="false" customHeight="true" outlineLevel="0" collapsed="false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customFormat="false" ht="15.75" hidden="false" customHeight="true" outlineLevel="0" collapsed="false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customFormat="false" ht="15.75" hidden="false" customHeight="true" outlineLevel="0" collapsed="false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customFormat="false" ht="15.75" hidden="false" customHeight="true" outlineLevel="0" collapsed="false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customFormat="false" ht="15.75" hidden="false" customHeight="true" outlineLevel="0" collapsed="false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customFormat="false" ht="15.75" hidden="false" customHeight="true" outlineLevel="0" collapsed="false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customFormat="false" ht="15.75" hidden="false" customHeight="true" outlineLevel="0" collapsed="false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customFormat="false" ht="15.75" hidden="false" customHeight="true" outlineLevel="0" collapsed="false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customFormat="false" ht="15.75" hidden="false" customHeight="true" outlineLevel="0" collapsed="false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customFormat="false" ht="15.75" hidden="false" customHeight="true" outlineLevel="0" collapsed="false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customFormat="false" ht="15.75" hidden="false" customHeight="true" outlineLevel="0" collapsed="false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customFormat="false" ht="15.75" hidden="false" customHeight="true" outlineLevel="0" collapsed="false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customFormat="false" ht="15.75" hidden="false" customHeight="true" outlineLevel="0" collapsed="false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customFormat="false" ht="15.75" hidden="false" customHeight="true" outlineLevel="0" collapsed="false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customFormat="false" ht="15.75" hidden="false" customHeight="true" outlineLevel="0" collapsed="false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customFormat="false" ht="15.75" hidden="false" customHeight="true" outlineLevel="0" collapsed="false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customFormat="false" ht="15.75" hidden="false" customHeight="true" outlineLevel="0" collapsed="false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customFormat="false" ht="15.75" hidden="false" customHeight="true" outlineLevel="0" collapsed="false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customFormat="false" ht="15.75" hidden="false" customHeight="true" outlineLevel="0" collapsed="false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customFormat="false" ht="15.75" hidden="false" customHeight="true" outlineLevel="0" collapsed="false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customFormat="false" ht="15.75" hidden="false" customHeight="true" outlineLevel="0" collapsed="false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customFormat="false" ht="15.75" hidden="false" customHeight="true" outlineLevel="0" collapsed="false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customFormat="false" ht="15.75" hidden="false" customHeight="true" outlineLevel="0" collapsed="false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customFormat="false" ht="15.75" hidden="false" customHeight="true" outlineLevel="0" collapsed="false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customFormat="false" ht="15.75" hidden="false" customHeight="true" outlineLevel="0" collapsed="false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customFormat="false" ht="15.75" hidden="false" customHeight="true" outlineLevel="0" collapsed="false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customFormat="false" ht="15.75" hidden="false" customHeight="true" outlineLevel="0" collapsed="false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customFormat="false" ht="15.75" hidden="false" customHeight="true" outlineLevel="0" collapsed="false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customFormat="false" ht="15.75" hidden="false" customHeight="true" outlineLevel="0" collapsed="false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customFormat="false" ht="15.75" hidden="false" customHeight="true" outlineLevel="0" collapsed="false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customFormat="false" ht="15.75" hidden="false" customHeight="true" outlineLevel="0" collapsed="false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customFormat="false" ht="15.75" hidden="false" customHeight="true" outlineLevel="0" collapsed="false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customFormat="false" ht="15.75" hidden="false" customHeight="true" outlineLevel="0" collapsed="false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customFormat="false" ht="15.75" hidden="false" customHeight="true" outlineLevel="0" collapsed="false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customFormat="false" ht="15.75" hidden="false" customHeight="true" outlineLevel="0" collapsed="false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customFormat="false" ht="15.75" hidden="false" customHeight="true" outlineLevel="0" collapsed="false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customFormat="false" ht="15.75" hidden="false" customHeight="true" outlineLevel="0" collapsed="false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customFormat="false" ht="15.75" hidden="false" customHeight="true" outlineLevel="0" collapsed="false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customFormat="false" ht="15.75" hidden="false" customHeight="true" outlineLevel="0" collapsed="false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customFormat="false" ht="15.75" hidden="false" customHeight="true" outlineLevel="0" collapsed="false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customFormat="false" ht="15.75" hidden="false" customHeight="true" outlineLevel="0" collapsed="false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customFormat="false" ht="15.75" hidden="false" customHeight="true" outlineLevel="0" collapsed="false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customFormat="false" ht="15.75" hidden="false" customHeight="true" outlineLevel="0" collapsed="false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customFormat="false" ht="15.75" hidden="false" customHeight="true" outlineLevel="0" collapsed="false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customFormat="false" ht="15.75" hidden="false" customHeight="true" outlineLevel="0" collapsed="false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customFormat="false" ht="15.75" hidden="false" customHeight="true" outlineLevel="0" collapsed="false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customFormat="false" ht="15.75" hidden="false" customHeight="true" outlineLevel="0" collapsed="false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customFormat="false" ht="15.75" hidden="false" customHeight="true" outlineLevel="0" collapsed="false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customFormat="false" ht="15.75" hidden="false" customHeight="true" outlineLevel="0" collapsed="false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customFormat="false" ht="15.75" hidden="false" customHeight="true" outlineLevel="0" collapsed="false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customFormat="false" ht="15.75" hidden="false" customHeight="true" outlineLevel="0" collapsed="false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customFormat="false" ht="15.75" hidden="false" customHeight="true" outlineLevel="0" collapsed="false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customFormat="false" ht="15.75" hidden="false" customHeight="true" outlineLevel="0" collapsed="false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customFormat="false" ht="15.75" hidden="false" customHeight="true" outlineLevel="0" collapsed="false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customFormat="false" ht="15.75" hidden="false" customHeight="true" outlineLevel="0" collapsed="false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customFormat="false" ht="15.75" hidden="false" customHeight="true" outlineLevel="0" collapsed="false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customFormat="false" ht="15.75" hidden="false" customHeight="true" outlineLevel="0" collapsed="false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customFormat="false" ht="15.75" hidden="false" customHeight="true" outlineLevel="0" collapsed="false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customFormat="false" ht="15.75" hidden="false" customHeight="true" outlineLevel="0" collapsed="false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customFormat="false" ht="15.75" hidden="false" customHeight="true" outlineLevel="0" collapsed="false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customFormat="false" ht="15.75" hidden="false" customHeight="true" outlineLevel="0" collapsed="false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customFormat="false" ht="15.75" hidden="false" customHeight="true" outlineLevel="0" collapsed="false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customFormat="false" ht="15.75" hidden="false" customHeight="true" outlineLevel="0" collapsed="false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customFormat="false" ht="15.75" hidden="false" customHeight="true" outlineLevel="0" collapsed="false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customFormat="false" ht="15.75" hidden="false" customHeight="true" outlineLevel="0" collapsed="false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customFormat="false" ht="15.75" hidden="false" customHeight="true" outlineLevel="0" collapsed="false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customFormat="false" ht="15.75" hidden="false" customHeight="true" outlineLevel="0" collapsed="false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customFormat="false" ht="15.75" hidden="false" customHeight="true" outlineLevel="0" collapsed="false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customFormat="false" ht="15.75" hidden="false" customHeight="true" outlineLevel="0" collapsed="false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customFormat="false" ht="15.75" hidden="false" customHeight="true" outlineLevel="0" collapsed="false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customFormat="false" ht="15.75" hidden="false" customHeight="true" outlineLevel="0" collapsed="false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customFormat="false" ht="15.75" hidden="false" customHeight="true" outlineLevel="0" collapsed="false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customFormat="false" ht="15.75" hidden="false" customHeight="true" outlineLevel="0" collapsed="false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customFormat="false" ht="15.75" hidden="false" customHeight="true" outlineLevel="0" collapsed="false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customFormat="false" ht="15.75" hidden="false" customHeight="true" outlineLevel="0" collapsed="false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customFormat="false" ht="15.75" hidden="false" customHeight="true" outlineLevel="0" collapsed="false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customFormat="false" ht="15.75" hidden="false" customHeight="true" outlineLevel="0" collapsed="false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customFormat="false" ht="15.75" hidden="false" customHeight="true" outlineLevel="0" collapsed="false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customFormat="false" ht="15.75" hidden="false" customHeight="true" outlineLevel="0" collapsed="false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customFormat="false" ht="15.75" hidden="false" customHeight="true" outlineLevel="0" collapsed="false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customFormat="false" ht="15.75" hidden="false" customHeight="true" outlineLevel="0" collapsed="false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customFormat="false" ht="15.75" hidden="false" customHeight="true" outlineLevel="0" collapsed="false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customFormat="false" ht="15.75" hidden="false" customHeight="true" outlineLevel="0" collapsed="false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customFormat="false" ht="15.75" hidden="false" customHeight="true" outlineLevel="0" collapsed="false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customFormat="false" ht="15.75" hidden="false" customHeight="true" outlineLevel="0" collapsed="false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customFormat="false" ht="15.75" hidden="false" customHeight="true" outlineLevel="0" collapsed="false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customFormat="false" ht="15.75" hidden="false" customHeight="true" outlineLevel="0" collapsed="false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customFormat="false" ht="15.75" hidden="false" customHeight="true" outlineLevel="0" collapsed="false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customFormat="false" ht="15.75" hidden="false" customHeight="true" outlineLevel="0" collapsed="false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customFormat="false" ht="15.75" hidden="false" customHeight="true" outlineLevel="0" collapsed="false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customFormat="false" ht="15.75" hidden="false" customHeight="true" outlineLevel="0" collapsed="false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customFormat="false" ht="15.75" hidden="false" customHeight="true" outlineLevel="0" collapsed="false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customFormat="false" ht="15.75" hidden="false" customHeight="true" outlineLevel="0" collapsed="false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customFormat="false" ht="15.75" hidden="false" customHeight="true" outlineLevel="0" collapsed="false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customFormat="false" ht="15.75" hidden="false" customHeight="true" outlineLevel="0" collapsed="false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customFormat="false" ht="15.75" hidden="false" customHeight="true" outlineLevel="0" collapsed="false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customFormat="false" ht="15.75" hidden="false" customHeight="true" outlineLevel="0" collapsed="false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customFormat="false" ht="15.75" hidden="false" customHeight="true" outlineLevel="0" collapsed="false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customFormat="false" ht="15.75" hidden="false" customHeight="true" outlineLevel="0" collapsed="false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customFormat="false" ht="15.75" hidden="false" customHeight="true" outlineLevel="0" collapsed="false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customFormat="false" ht="15.75" hidden="false" customHeight="true" outlineLevel="0" collapsed="false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customFormat="false" ht="15.75" hidden="false" customHeight="true" outlineLevel="0" collapsed="false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customFormat="false" ht="15.75" hidden="false" customHeight="true" outlineLevel="0" collapsed="false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customFormat="false" ht="15.75" hidden="false" customHeight="true" outlineLevel="0" collapsed="false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customFormat="false" ht="15.75" hidden="false" customHeight="true" outlineLevel="0" collapsed="false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customFormat="false" ht="15.75" hidden="false" customHeight="true" outlineLevel="0" collapsed="false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customFormat="false" ht="15.75" hidden="false" customHeight="true" outlineLevel="0" collapsed="false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customFormat="false" ht="15.75" hidden="false" customHeight="true" outlineLevel="0" collapsed="false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customFormat="false" ht="15.75" hidden="false" customHeight="true" outlineLevel="0" collapsed="false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customFormat="false" ht="15.75" hidden="false" customHeight="true" outlineLevel="0" collapsed="false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customFormat="false" ht="15.75" hidden="false" customHeight="true" outlineLevel="0" collapsed="false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customFormat="false" ht="15.75" hidden="false" customHeight="true" outlineLevel="0" collapsed="false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customFormat="false" ht="15.75" hidden="false" customHeight="true" outlineLevel="0" collapsed="false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customFormat="false" ht="15.75" hidden="false" customHeight="true" outlineLevel="0" collapsed="false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customFormat="false" ht="15.75" hidden="false" customHeight="true" outlineLevel="0" collapsed="false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customFormat="false" ht="15.75" hidden="false" customHeight="true" outlineLevel="0" collapsed="false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customFormat="false" ht="15.75" hidden="false" customHeight="true" outlineLevel="0" collapsed="false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customFormat="false" ht="15.75" hidden="false" customHeight="true" outlineLevel="0" collapsed="false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customFormat="false" ht="15.75" hidden="false" customHeight="true" outlineLevel="0" collapsed="false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customFormat="false" ht="15.75" hidden="false" customHeight="true" outlineLevel="0" collapsed="false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customFormat="false" ht="15.75" hidden="false" customHeight="true" outlineLevel="0" collapsed="false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customFormat="false" ht="15.75" hidden="false" customHeight="true" outlineLevel="0" collapsed="false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customFormat="false" ht="15.75" hidden="false" customHeight="true" outlineLevel="0" collapsed="false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customFormat="false" ht="15.75" hidden="false" customHeight="true" outlineLevel="0" collapsed="false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customFormat="false" ht="15.75" hidden="false" customHeight="true" outlineLevel="0" collapsed="false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customFormat="false" ht="15.75" hidden="false" customHeight="true" outlineLevel="0" collapsed="false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customFormat="false" ht="15.75" hidden="false" customHeight="true" outlineLevel="0" collapsed="false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customFormat="false" ht="15.75" hidden="false" customHeight="true" outlineLevel="0" collapsed="false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customFormat="false" ht="15.75" hidden="false" customHeight="true" outlineLevel="0" collapsed="false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customFormat="false" ht="15.75" hidden="false" customHeight="true" outlineLevel="0" collapsed="false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customFormat="false" ht="15.75" hidden="false" customHeight="true" outlineLevel="0" collapsed="false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customFormat="false" ht="15.75" hidden="false" customHeight="true" outlineLevel="0" collapsed="false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customFormat="false" ht="15.75" hidden="false" customHeight="true" outlineLevel="0" collapsed="false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customFormat="false" ht="15.75" hidden="false" customHeight="true" outlineLevel="0" collapsed="false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customFormat="false" ht="15.75" hidden="false" customHeight="true" outlineLevel="0" collapsed="false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customFormat="false" ht="15.75" hidden="false" customHeight="true" outlineLevel="0" collapsed="false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customFormat="false" ht="15.75" hidden="false" customHeight="true" outlineLevel="0" collapsed="false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customFormat="false" ht="15.75" hidden="false" customHeight="true" outlineLevel="0" collapsed="false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customFormat="false" ht="15.75" hidden="false" customHeight="true" outlineLevel="0" collapsed="false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customFormat="false" ht="15.75" hidden="false" customHeight="true" outlineLevel="0" collapsed="false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customFormat="false" ht="15.75" hidden="false" customHeight="true" outlineLevel="0" collapsed="false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customFormat="false" ht="15.75" hidden="false" customHeight="true" outlineLevel="0" collapsed="false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customFormat="false" ht="15.75" hidden="false" customHeight="true" outlineLevel="0" collapsed="false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customFormat="false" ht="15.75" hidden="false" customHeight="true" outlineLevel="0" collapsed="false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customFormat="false" ht="15.75" hidden="false" customHeight="true" outlineLevel="0" collapsed="false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customFormat="false" ht="15.75" hidden="false" customHeight="true" outlineLevel="0" collapsed="false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customFormat="false" ht="15.75" hidden="false" customHeight="true" outlineLevel="0" collapsed="false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customFormat="false" ht="15.75" hidden="false" customHeight="true" outlineLevel="0" collapsed="false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customFormat="false" ht="15.75" hidden="false" customHeight="true" outlineLevel="0" collapsed="false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customFormat="false" ht="15.75" hidden="false" customHeight="true" outlineLevel="0" collapsed="false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customFormat="false" ht="15.75" hidden="false" customHeight="true" outlineLevel="0" collapsed="false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customFormat="false" ht="15.75" hidden="false" customHeight="true" outlineLevel="0" collapsed="false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customFormat="false" ht="15.75" hidden="false" customHeight="true" outlineLevel="0" collapsed="false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customFormat="false" ht="15.75" hidden="false" customHeight="true" outlineLevel="0" collapsed="false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customFormat="false" ht="15.75" hidden="false" customHeight="true" outlineLevel="0" collapsed="false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customFormat="false" ht="15.75" hidden="false" customHeight="true" outlineLevel="0" collapsed="false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customFormat="false" ht="15.75" hidden="false" customHeight="true" outlineLevel="0" collapsed="false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customFormat="false" ht="15.75" hidden="false" customHeight="true" outlineLevel="0" collapsed="false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customFormat="false" ht="15.75" hidden="false" customHeight="true" outlineLevel="0" collapsed="false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customFormat="false" ht="15.75" hidden="false" customHeight="true" outlineLevel="0" collapsed="false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customFormat="false" ht="15.75" hidden="false" customHeight="true" outlineLevel="0" collapsed="false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customFormat="false" ht="15.75" hidden="false" customHeight="true" outlineLevel="0" collapsed="false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customFormat="false" ht="15.75" hidden="false" customHeight="true" outlineLevel="0" collapsed="false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customFormat="false" ht="15.75" hidden="false" customHeight="true" outlineLevel="0" collapsed="false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customFormat="false" ht="15.75" hidden="false" customHeight="true" outlineLevel="0" collapsed="false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customFormat="false" ht="15.75" hidden="false" customHeight="true" outlineLevel="0" collapsed="false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customFormat="false" ht="15.75" hidden="false" customHeight="true" outlineLevel="0" collapsed="false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customFormat="false" ht="15.75" hidden="false" customHeight="true" outlineLevel="0" collapsed="false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customFormat="false" ht="15.75" hidden="false" customHeight="true" outlineLevel="0" collapsed="false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customFormat="false" ht="15.75" hidden="false" customHeight="true" outlineLevel="0" collapsed="false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customFormat="false" ht="15.75" hidden="false" customHeight="true" outlineLevel="0" collapsed="false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customFormat="false" ht="15.75" hidden="false" customHeight="true" outlineLevel="0" collapsed="false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customFormat="false" ht="15.75" hidden="false" customHeight="true" outlineLevel="0" collapsed="false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customFormat="false" ht="15.75" hidden="false" customHeight="true" outlineLevel="0" collapsed="false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customFormat="false" ht="15.75" hidden="false" customHeight="true" outlineLevel="0" collapsed="false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customFormat="false" ht="15.75" hidden="false" customHeight="true" outlineLevel="0" collapsed="false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customFormat="false" ht="15.75" hidden="false" customHeight="true" outlineLevel="0" collapsed="false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customFormat="false" ht="15.75" hidden="false" customHeight="true" outlineLevel="0" collapsed="false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customFormat="false" ht="15.75" hidden="false" customHeight="true" outlineLevel="0" collapsed="false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customFormat="false" ht="15.75" hidden="false" customHeight="true" outlineLevel="0" collapsed="false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customFormat="false" ht="15.75" hidden="false" customHeight="true" outlineLevel="0" collapsed="false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customFormat="false" ht="15.75" hidden="false" customHeight="true" outlineLevel="0" collapsed="false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customFormat="false" ht="15.75" hidden="false" customHeight="true" outlineLevel="0" collapsed="false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customFormat="false" ht="15.75" hidden="false" customHeight="true" outlineLevel="0" collapsed="false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customFormat="false" ht="15.75" hidden="false" customHeight="true" outlineLevel="0" collapsed="false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customFormat="false" ht="15.75" hidden="false" customHeight="true" outlineLevel="0" collapsed="false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customFormat="false" ht="15.75" hidden="false" customHeight="true" outlineLevel="0" collapsed="false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customFormat="false" ht="15.75" hidden="false" customHeight="true" outlineLevel="0" collapsed="false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customFormat="false" ht="15.75" hidden="false" customHeight="true" outlineLevel="0" collapsed="false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customFormat="false" ht="15.75" hidden="false" customHeight="true" outlineLevel="0" collapsed="false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customFormat="false" ht="15.75" hidden="false" customHeight="true" outlineLevel="0" collapsed="false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customFormat="false" ht="15.75" hidden="false" customHeight="true" outlineLevel="0" collapsed="false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customFormat="false" ht="15.75" hidden="false" customHeight="true" outlineLevel="0" collapsed="false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customFormat="false" ht="15.75" hidden="false" customHeight="true" outlineLevel="0" collapsed="false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customFormat="false" ht="15.75" hidden="false" customHeight="true" outlineLevel="0" collapsed="false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customFormat="false" ht="15.75" hidden="false" customHeight="true" outlineLevel="0" collapsed="false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customFormat="false" ht="15.75" hidden="false" customHeight="true" outlineLevel="0" collapsed="false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customFormat="false" ht="15.75" hidden="false" customHeight="true" outlineLevel="0" collapsed="false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customFormat="false" ht="15.75" hidden="false" customHeight="true" outlineLevel="0" collapsed="false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customFormat="false" ht="15.75" hidden="false" customHeight="true" outlineLevel="0" collapsed="false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customFormat="false" ht="15.75" hidden="false" customHeight="true" outlineLevel="0" collapsed="false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customFormat="false" ht="15.75" hidden="false" customHeight="true" outlineLevel="0" collapsed="false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customFormat="false" ht="15.75" hidden="false" customHeight="true" outlineLevel="0" collapsed="false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customFormat="false" ht="15.75" hidden="false" customHeight="true" outlineLevel="0" collapsed="false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customFormat="false" ht="15.75" hidden="false" customHeight="true" outlineLevel="0" collapsed="false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customFormat="false" ht="15.75" hidden="false" customHeight="true" outlineLevel="0" collapsed="false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customFormat="false" ht="15.75" hidden="false" customHeight="true" outlineLevel="0" collapsed="false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customFormat="false" ht="15.75" hidden="false" customHeight="true" outlineLevel="0" collapsed="false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customFormat="false" ht="15.75" hidden="false" customHeight="true" outlineLevel="0" collapsed="false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customFormat="false" ht="15.75" hidden="false" customHeight="true" outlineLevel="0" collapsed="false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customFormat="false" ht="15.75" hidden="false" customHeight="true" outlineLevel="0" collapsed="false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customFormat="false" ht="15.75" hidden="false" customHeight="true" outlineLevel="0" collapsed="false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customFormat="false" ht="15.75" hidden="false" customHeight="true" outlineLevel="0" collapsed="false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customFormat="false" ht="15.75" hidden="false" customHeight="true" outlineLevel="0" collapsed="false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customFormat="false" ht="15.75" hidden="false" customHeight="true" outlineLevel="0" collapsed="false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customFormat="false" ht="15.75" hidden="false" customHeight="true" outlineLevel="0" collapsed="false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customFormat="false" ht="15.75" hidden="false" customHeight="true" outlineLevel="0" collapsed="false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customFormat="false" ht="15.75" hidden="false" customHeight="true" outlineLevel="0" collapsed="false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customFormat="false" ht="15.75" hidden="false" customHeight="true" outlineLevel="0" collapsed="false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customFormat="false" ht="15.75" hidden="false" customHeight="true" outlineLevel="0" collapsed="false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customFormat="false" ht="15.75" hidden="false" customHeight="true" outlineLevel="0" collapsed="false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customFormat="false" ht="15.75" hidden="false" customHeight="true" outlineLevel="0" collapsed="false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customFormat="false" ht="15.75" hidden="false" customHeight="true" outlineLevel="0" collapsed="false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customFormat="false" ht="15.75" hidden="false" customHeight="true" outlineLevel="0" collapsed="false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customFormat="false" ht="15.75" hidden="false" customHeight="true" outlineLevel="0" collapsed="false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customFormat="false" ht="15.75" hidden="false" customHeight="true" outlineLevel="0" collapsed="false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customFormat="false" ht="15.75" hidden="false" customHeight="true" outlineLevel="0" collapsed="false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customFormat="false" ht="15.75" hidden="false" customHeight="true" outlineLevel="0" collapsed="false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customFormat="false" ht="15.75" hidden="false" customHeight="true" outlineLevel="0" collapsed="false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customFormat="false" ht="15.75" hidden="false" customHeight="true" outlineLevel="0" collapsed="false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customFormat="false" ht="15.75" hidden="false" customHeight="true" outlineLevel="0" collapsed="false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customFormat="false" ht="15.75" hidden="false" customHeight="true" outlineLevel="0" collapsed="false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customFormat="false" ht="15.75" hidden="false" customHeight="true" outlineLevel="0" collapsed="false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customFormat="false" ht="15.75" hidden="false" customHeight="true" outlineLevel="0" collapsed="false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customFormat="false" ht="15.75" hidden="false" customHeight="true" outlineLevel="0" collapsed="false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customFormat="false" ht="15.75" hidden="false" customHeight="true" outlineLevel="0" collapsed="false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customFormat="false" ht="15.75" hidden="false" customHeight="true" outlineLevel="0" collapsed="false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customFormat="false" ht="15.75" hidden="false" customHeight="true" outlineLevel="0" collapsed="false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customFormat="false" ht="15.75" hidden="false" customHeight="true" outlineLevel="0" collapsed="false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customFormat="false" ht="15.75" hidden="false" customHeight="true" outlineLevel="0" collapsed="false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customFormat="false" ht="15.75" hidden="false" customHeight="true" outlineLevel="0" collapsed="false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customFormat="false" ht="15.75" hidden="false" customHeight="true" outlineLevel="0" collapsed="false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customFormat="false" ht="15.75" hidden="false" customHeight="true" outlineLevel="0" collapsed="false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customFormat="false" ht="15.75" hidden="false" customHeight="true" outlineLevel="0" collapsed="false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customFormat="false" ht="15.75" hidden="false" customHeight="true" outlineLevel="0" collapsed="false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customFormat="false" ht="15.75" hidden="false" customHeight="true" outlineLevel="0" collapsed="false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customFormat="false" ht="15.75" hidden="false" customHeight="true" outlineLevel="0" collapsed="false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customFormat="false" ht="15.75" hidden="false" customHeight="true" outlineLevel="0" collapsed="false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customFormat="false" ht="15.75" hidden="false" customHeight="true" outlineLevel="0" collapsed="false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customFormat="false" ht="15.75" hidden="false" customHeight="true" outlineLevel="0" collapsed="false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customFormat="false" ht="15.75" hidden="false" customHeight="true" outlineLevel="0" collapsed="false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customFormat="false" ht="15.75" hidden="false" customHeight="true" outlineLevel="0" collapsed="false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customFormat="false" ht="15.75" hidden="false" customHeight="true" outlineLevel="0" collapsed="false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customFormat="false" ht="15.75" hidden="false" customHeight="true" outlineLevel="0" collapsed="false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customFormat="false" ht="15.75" hidden="false" customHeight="true" outlineLevel="0" collapsed="false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customFormat="false" ht="15.75" hidden="false" customHeight="true" outlineLevel="0" collapsed="false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customFormat="false" ht="15.75" hidden="false" customHeight="true" outlineLevel="0" collapsed="false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customFormat="false" ht="15.75" hidden="false" customHeight="true" outlineLevel="0" collapsed="false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customFormat="false" ht="15.75" hidden="false" customHeight="true" outlineLevel="0" collapsed="false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customFormat="false" ht="15.75" hidden="false" customHeight="true" outlineLevel="0" collapsed="false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customFormat="false" ht="15.75" hidden="false" customHeight="true" outlineLevel="0" collapsed="false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customFormat="false" ht="15.75" hidden="false" customHeight="true" outlineLevel="0" collapsed="false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customFormat="false" ht="15.75" hidden="false" customHeight="true" outlineLevel="0" collapsed="false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customFormat="false" ht="15.75" hidden="false" customHeight="true" outlineLevel="0" collapsed="false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customFormat="false" ht="15.75" hidden="false" customHeight="true" outlineLevel="0" collapsed="false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customFormat="false" ht="15.75" hidden="false" customHeight="true" outlineLevel="0" collapsed="false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customFormat="false" ht="15.75" hidden="false" customHeight="true" outlineLevel="0" collapsed="false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customFormat="false" ht="15.75" hidden="false" customHeight="true" outlineLevel="0" collapsed="false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customFormat="false" ht="15.75" hidden="false" customHeight="true" outlineLevel="0" collapsed="false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customFormat="false" ht="15.75" hidden="false" customHeight="true" outlineLevel="0" collapsed="false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customFormat="false" ht="15.75" hidden="false" customHeight="true" outlineLevel="0" collapsed="false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customFormat="false" ht="15.75" hidden="false" customHeight="true" outlineLevel="0" collapsed="false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customFormat="false" ht="15.75" hidden="false" customHeight="true" outlineLevel="0" collapsed="false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customFormat="false" ht="15.75" hidden="false" customHeight="true" outlineLevel="0" collapsed="false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customFormat="false" ht="15.75" hidden="false" customHeight="true" outlineLevel="0" collapsed="false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customFormat="false" ht="15.75" hidden="false" customHeight="true" outlineLevel="0" collapsed="false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customFormat="false" ht="15.75" hidden="false" customHeight="true" outlineLevel="0" collapsed="false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customFormat="false" ht="15.75" hidden="false" customHeight="true" outlineLevel="0" collapsed="false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customFormat="false" ht="15.75" hidden="false" customHeight="true" outlineLevel="0" collapsed="false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customFormat="false" ht="15.75" hidden="false" customHeight="true" outlineLevel="0" collapsed="false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customFormat="false" ht="15.75" hidden="false" customHeight="true" outlineLevel="0" collapsed="false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customFormat="false" ht="15.75" hidden="false" customHeight="true" outlineLevel="0" collapsed="false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customFormat="false" ht="15.75" hidden="false" customHeight="true" outlineLevel="0" collapsed="false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customFormat="false" ht="15.75" hidden="false" customHeight="true" outlineLevel="0" collapsed="false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customFormat="false" ht="15.75" hidden="false" customHeight="true" outlineLevel="0" collapsed="false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customFormat="false" ht="15.75" hidden="false" customHeight="true" outlineLevel="0" collapsed="false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customFormat="false" ht="15.75" hidden="false" customHeight="true" outlineLevel="0" collapsed="false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customFormat="false" ht="15.75" hidden="false" customHeight="true" outlineLevel="0" collapsed="false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customFormat="false" ht="15.75" hidden="false" customHeight="true" outlineLevel="0" collapsed="false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customFormat="false" ht="15.75" hidden="false" customHeight="true" outlineLevel="0" collapsed="false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customFormat="false" ht="15.75" hidden="false" customHeight="true" outlineLevel="0" collapsed="false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customFormat="false" ht="15.75" hidden="false" customHeight="true" outlineLevel="0" collapsed="false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customFormat="false" ht="15.75" hidden="false" customHeight="true" outlineLevel="0" collapsed="false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customFormat="false" ht="15.75" hidden="false" customHeight="true" outlineLevel="0" collapsed="false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customFormat="false" ht="15.75" hidden="false" customHeight="true" outlineLevel="0" collapsed="false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customFormat="false" ht="15.75" hidden="false" customHeight="true" outlineLevel="0" collapsed="false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customFormat="false" ht="15.75" hidden="false" customHeight="true" outlineLevel="0" collapsed="false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customFormat="false" ht="15.75" hidden="false" customHeight="true" outlineLevel="0" collapsed="false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customFormat="false" ht="15.75" hidden="false" customHeight="true" outlineLevel="0" collapsed="false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customFormat="false" ht="15.75" hidden="false" customHeight="true" outlineLevel="0" collapsed="false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customFormat="false" ht="15.75" hidden="false" customHeight="true" outlineLevel="0" collapsed="false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customFormat="false" ht="15.75" hidden="false" customHeight="true" outlineLevel="0" collapsed="false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customFormat="false" ht="15.75" hidden="false" customHeight="true" outlineLevel="0" collapsed="false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customFormat="false" ht="15.75" hidden="false" customHeight="true" outlineLevel="0" collapsed="false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customFormat="false" ht="15.75" hidden="false" customHeight="true" outlineLevel="0" collapsed="false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customFormat="false" ht="15.75" hidden="false" customHeight="true" outlineLevel="0" collapsed="false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customFormat="false" ht="15.75" hidden="false" customHeight="true" outlineLevel="0" collapsed="false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customFormat="false" ht="15.75" hidden="false" customHeight="true" outlineLevel="0" collapsed="false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customFormat="false" ht="15.75" hidden="false" customHeight="true" outlineLevel="0" collapsed="false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customFormat="false" ht="15.75" hidden="false" customHeight="true" outlineLevel="0" collapsed="false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customFormat="false" ht="15.75" hidden="false" customHeight="true" outlineLevel="0" collapsed="false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customFormat="false" ht="15.75" hidden="false" customHeight="true" outlineLevel="0" collapsed="false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customFormat="false" ht="15.75" hidden="false" customHeight="true" outlineLevel="0" collapsed="false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customFormat="false" ht="15.75" hidden="false" customHeight="true" outlineLevel="0" collapsed="false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customFormat="false" ht="15.75" hidden="false" customHeight="true" outlineLevel="0" collapsed="false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customFormat="false" ht="15.75" hidden="false" customHeight="true" outlineLevel="0" collapsed="false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customFormat="false" ht="15.75" hidden="false" customHeight="true" outlineLevel="0" collapsed="false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customFormat="false" ht="15.75" hidden="false" customHeight="true" outlineLevel="0" collapsed="false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customFormat="false" ht="15.75" hidden="false" customHeight="true" outlineLevel="0" collapsed="false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customFormat="false" ht="15.75" hidden="false" customHeight="true" outlineLevel="0" collapsed="false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customFormat="false" ht="15.75" hidden="false" customHeight="true" outlineLevel="0" collapsed="false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customFormat="false" ht="15.75" hidden="false" customHeight="true" outlineLevel="0" collapsed="false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customFormat="false" ht="15.75" hidden="false" customHeight="true" outlineLevel="0" collapsed="false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customFormat="false" ht="15.75" hidden="false" customHeight="true" outlineLevel="0" collapsed="false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customFormat="false" ht="15.75" hidden="false" customHeight="true" outlineLevel="0" collapsed="false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customFormat="false" ht="15.75" hidden="false" customHeight="true" outlineLevel="0" collapsed="false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customFormat="false" ht="15.75" hidden="false" customHeight="true" outlineLevel="0" collapsed="false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customFormat="false" ht="15.75" hidden="false" customHeight="true" outlineLevel="0" collapsed="false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customFormat="false" ht="15.75" hidden="false" customHeight="true" outlineLevel="0" collapsed="false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customFormat="false" ht="15.75" hidden="false" customHeight="true" outlineLevel="0" collapsed="false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customFormat="false" ht="15.75" hidden="false" customHeight="true" outlineLevel="0" collapsed="false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customFormat="false" ht="15.75" hidden="false" customHeight="true" outlineLevel="0" collapsed="false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customFormat="false" ht="15.75" hidden="false" customHeight="true" outlineLevel="0" collapsed="false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customFormat="false" ht="15.75" hidden="false" customHeight="true" outlineLevel="0" collapsed="false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customFormat="false" ht="15.75" hidden="false" customHeight="true" outlineLevel="0" collapsed="false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customFormat="false" ht="15.75" hidden="false" customHeight="true" outlineLevel="0" collapsed="false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customFormat="false" ht="15.75" hidden="false" customHeight="true" outlineLevel="0" collapsed="false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customFormat="false" ht="15.75" hidden="false" customHeight="true" outlineLevel="0" collapsed="false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customFormat="false" ht="15.75" hidden="false" customHeight="true" outlineLevel="0" collapsed="false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customFormat="false" ht="15.75" hidden="false" customHeight="true" outlineLevel="0" collapsed="false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customFormat="false" ht="15.75" hidden="false" customHeight="true" outlineLevel="0" collapsed="false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customFormat="false" ht="15.75" hidden="false" customHeight="true" outlineLevel="0" collapsed="false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customFormat="false" ht="15.75" hidden="false" customHeight="true" outlineLevel="0" collapsed="false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customFormat="false" ht="15.75" hidden="false" customHeight="true" outlineLevel="0" collapsed="false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customFormat="false" ht="15.75" hidden="false" customHeight="true" outlineLevel="0" collapsed="false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customFormat="false" ht="15.75" hidden="false" customHeight="true" outlineLevel="0" collapsed="false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customFormat="false" ht="15.75" hidden="false" customHeight="true" outlineLevel="0" collapsed="false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customFormat="false" ht="15.75" hidden="false" customHeight="true" outlineLevel="0" collapsed="false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customFormat="false" ht="15.75" hidden="false" customHeight="true" outlineLevel="0" collapsed="false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customFormat="false" ht="15.75" hidden="false" customHeight="true" outlineLevel="0" collapsed="false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customFormat="false" ht="15.75" hidden="false" customHeight="true" outlineLevel="0" collapsed="false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customFormat="false" ht="15.75" hidden="false" customHeight="true" outlineLevel="0" collapsed="false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customFormat="false" ht="15.75" hidden="false" customHeight="true" outlineLevel="0" collapsed="false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customFormat="false" ht="15.75" hidden="false" customHeight="true" outlineLevel="0" collapsed="false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customFormat="false" ht="15.75" hidden="false" customHeight="true" outlineLevel="0" collapsed="false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customFormat="false" ht="15.75" hidden="false" customHeight="true" outlineLevel="0" collapsed="false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customFormat="false" ht="15.75" hidden="false" customHeight="true" outlineLevel="0" collapsed="false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customFormat="false" ht="15.75" hidden="false" customHeight="true" outlineLevel="0" collapsed="false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customFormat="false" ht="15.75" hidden="false" customHeight="true" outlineLevel="0" collapsed="false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customFormat="false" ht="15.75" hidden="false" customHeight="true" outlineLevel="0" collapsed="false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customFormat="false" ht="15.75" hidden="false" customHeight="true" outlineLevel="0" collapsed="false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customFormat="false" ht="15.75" hidden="false" customHeight="true" outlineLevel="0" collapsed="false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customFormat="false" ht="15.75" hidden="false" customHeight="true" outlineLevel="0" collapsed="false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customFormat="false" ht="15.75" hidden="false" customHeight="true" outlineLevel="0" collapsed="false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customFormat="false" ht="15.75" hidden="false" customHeight="true" outlineLevel="0" collapsed="false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customFormat="false" ht="15.75" hidden="false" customHeight="true" outlineLevel="0" collapsed="false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customFormat="false" ht="15.75" hidden="false" customHeight="true" outlineLevel="0" collapsed="false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customFormat="false" ht="15.75" hidden="false" customHeight="true" outlineLevel="0" collapsed="false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customFormat="false" ht="15.75" hidden="false" customHeight="true" outlineLevel="0" collapsed="false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customFormat="false" ht="15.75" hidden="false" customHeight="true" outlineLevel="0" collapsed="false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customFormat="false" ht="15.75" hidden="false" customHeight="true" outlineLevel="0" collapsed="false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customFormat="false" ht="15.75" hidden="false" customHeight="true" outlineLevel="0" collapsed="false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customFormat="false" ht="15.75" hidden="false" customHeight="true" outlineLevel="0" collapsed="false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customFormat="false" ht="15.75" hidden="false" customHeight="true" outlineLevel="0" collapsed="false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customFormat="false" ht="15.75" hidden="false" customHeight="true" outlineLevel="0" collapsed="false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customFormat="false" ht="15.75" hidden="false" customHeight="true" outlineLevel="0" collapsed="false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customFormat="false" ht="15.75" hidden="false" customHeight="true" outlineLevel="0" collapsed="false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customFormat="false" ht="15.75" hidden="false" customHeight="true" outlineLevel="0" collapsed="false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customFormat="false" ht="15.75" hidden="false" customHeight="true" outlineLevel="0" collapsed="false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customFormat="false" ht="15.75" hidden="false" customHeight="true" outlineLevel="0" collapsed="false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customFormat="false" ht="15.75" hidden="false" customHeight="true" outlineLevel="0" collapsed="false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customFormat="false" ht="15.75" hidden="false" customHeight="true" outlineLevel="0" collapsed="false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customFormat="false" ht="15.75" hidden="false" customHeight="true" outlineLevel="0" collapsed="false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customFormat="false" ht="15.75" hidden="false" customHeight="true" outlineLevel="0" collapsed="false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customFormat="false" ht="15.75" hidden="false" customHeight="true" outlineLevel="0" collapsed="false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customFormat="false" ht="15.75" hidden="false" customHeight="true" outlineLevel="0" collapsed="false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customFormat="false" ht="15.75" hidden="false" customHeight="true" outlineLevel="0" collapsed="false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customFormat="false" ht="15.75" hidden="false" customHeight="true" outlineLevel="0" collapsed="false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customFormat="false" ht="15.75" hidden="false" customHeight="true" outlineLevel="0" collapsed="false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customFormat="false" ht="15.75" hidden="false" customHeight="true" outlineLevel="0" collapsed="false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customFormat="false" ht="15.75" hidden="false" customHeight="true" outlineLevel="0" collapsed="false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customFormat="false" ht="15.75" hidden="false" customHeight="true" outlineLevel="0" collapsed="false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customFormat="false" ht="15.75" hidden="false" customHeight="true" outlineLevel="0" collapsed="false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customFormat="false" ht="15.75" hidden="false" customHeight="true" outlineLevel="0" collapsed="false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customFormat="false" ht="15.75" hidden="false" customHeight="true" outlineLevel="0" collapsed="false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customFormat="false" ht="15.75" hidden="false" customHeight="true" outlineLevel="0" collapsed="false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customFormat="false" ht="15.75" hidden="false" customHeight="true" outlineLevel="0" collapsed="false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customFormat="false" ht="15.75" hidden="false" customHeight="true" outlineLevel="0" collapsed="false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customFormat="false" ht="15.75" hidden="false" customHeight="true" outlineLevel="0" collapsed="false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customFormat="false" ht="15.75" hidden="false" customHeight="true" outlineLevel="0" collapsed="false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customFormat="false" ht="15.75" hidden="false" customHeight="true" outlineLevel="0" collapsed="false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customFormat="false" ht="15.75" hidden="false" customHeight="true" outlineLevel="0" collapsed="false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customFormat="false" ht="15.75" hidden="false" customHeight="true" outlineLevel="0" collapsed="false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customFormat="false" ht="15.75" hidden="false" customHeight="true" outlineLevel="0" collapsed="false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customFormat="false" ht="15.75" hidden="false" customHeight="true" outlineLevel="0" collapsed="false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customFormat="false" ht="15.75" hidden="false" customHeight="true" outlineLevel="0" collapsed="false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customFormat="false" ht="15.75" hidden="false" customHeight="true" outlineLevel="0" collapsed="false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customFormat="false" ht="15.75" hidden="false" customHeight="true" outlineLevel="0" collapsed="false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customFormat="false" ht="15.75" hidden="false" customHeight="true" outlineLevel="0" collapsed="false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customFormat="false" ht="15.75" hidden="false" customHeight="true" outlineLevel="0" collapsed="false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customFormat="false" ht="15.75" hidden="false" customHeight="true" outlineLevel="0" collapsed="false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customFormat="false" ht="15.75" hidden="false" customHeight="true" outlineLevel="0" collapsed="false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customFormat="false" ht="15.75" hidden="false" customHeight="true" outlineLevel="0" collapsed="false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customFormat="false" ht="15.75" hidden="false" customHeight="true" outlineLevel="0" collapsed="false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customFormat="false" ht="15.75" hidden="false" customHeight="true" outlineLevel="0" collapsed="false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customFormat="false" ht="15.75" hidden="false" customHeight="true" outlineLevel="0" collapsed="false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customFormat="false" ht="15.75" hidden="false" customHeight="true" outlineLevel="0" collapsed="false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customFormat="false" ht="15.75" hidden="false" customHeight="true" outlineLevel="0" collapsed="false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customFormat="false" ht="15.75" hidden="false" customHeight="true" outlineLevel="0" collapsed="false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customFormat="false" ht="15.75" hidden="false" customHeight="true" outlineLevel="0" collapsed="false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customFormat="false" ht="15.75" hidden="false" customHeight="true" outlineLevel="0" collapsed="false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customFormat="false" ht="15.75" hidden="false" customHeight="true" outlineLevel="0" collapsed="false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customFormat="false" ht="15.75" hidden="false" customHeight="true" outlineLevel="0" collapsed="false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customFormat="false" ht="15.75" hidden="false" customHeight="true" outlineLevel="0" collapsed="false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customFormat="false" ht="15.75" hidden="false" customHeight="true" outlineLevel="0" collapsed="false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customFormat="false" ht="15.75" hidden="false" customHeight="true" outlineLevel="0" collapsed="false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customFormat="false" ht="15.75" hidden="false" customHeight="true" outlineLevel="0" collapsed="false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customFormat="false" ht="15.75" hidden="false" customHeight="true" outlineLevel="0" collapsed="false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customFormat="false" ht="15.75" hidden="false" customHeight="true" outlineLevel="0" collapsed="false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customFormat="false" ht="15.75" hidden="false" customHeight="true" outlineLevel="0" collapsed="false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customFormat="false" ht="15.75" hidden="false" customHeight="true" outlineLevel="0" collapsed="false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customFormat="false" ht="15.75" hidden="false" customHeight="true" outlineLevel="0" collapsed="false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customFormat="false" ht="15.75" hidden="false" customHeight="true" outlineLevel="0" collapsed="false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customFormat="false" ht="15.75" hidden="false" customHeight="true" outlineLevel="0" collapsed="false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customFormat="false" ht="15.75" hidden="false" customHeight="true" outlineLevel="0" collapsed="false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customFormat="false" ht="15.75" hidden="false" customHeight="true" outlineLevel="0" collapsed="false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customFormat="false" ht="15.75" hidden="false" customHeight="true" outlineLevel="0" collapsed="false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customFormat="false" ht="15.75" hidden="false" customHeight="true" outlineLevel="0" collapsed="false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customFormat="false" ht="15.75" hidden="false" customHeight="true" outlineLevel="0" collapsed="false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customFormat="false" ht="15.75" hidden="false" customHeight="true" outlineLevel="0" collapsed="false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customFormat="false" ht="15.75" hidden="false" customHeight="true" outlineLevel="0" collapsed="false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customFormat="false" ht="15.75" hidden="false" customHeight="true" outlineLevel="0" collapsed="false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customFormat="false" ht="15.75" hidden="false" customHeight="true" outlineLevel="0" collapsed="false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customFormat="false" ht="15.75" hidden="false" customHeight="true" outlineLevel="0" collapsed="false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customFormat="false" ht="15.75" hidden="false" customHeight="true" outlineLevel="0" collapsed="false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customFormat="false" ht="15.75" hidden="false" customHeight="true" outlineLevel="0" collapsed="false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customFormat="false" ht="15.75" hidden="false" customHeight="true" outlineLevel="0" collapsed="false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customFormat="false" ht="15.75" hidden="false" customHeight="true" outlineLevel="0" collapsed="false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customFormat="false" ht="15.75" hidden="false" customHeight="true" outlineLevel="0" collapsed="false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customFormat="false" ht="15.75" hidden="false" customHeight="true" outlineLevel="0" collapsed="false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customFormat="false" ht="15.75" hidden="false" customHeight="true" outlineLevel="0" collapsed="false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customFormat="false" ht="15.75" hidden="false" customHeight="true" outlineLevel="0" collapsed="false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customFormat="false" ht="15.75" hidden="false" customHeight="true" outlineLevel="0" collapsed="false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customFormat="false" ht="15.75" hidden="false" customHeight="true" outlineLevel="0" collapsed="false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customFormat="false" ht="15.75" hidden="false" customHeight="true" outlineLevel="0" collapsed="false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customFormat="false" ht="15.75" hidden="false" customHeight="true" outlineLevel="0" collapsed="false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customFormat="false" ht="15.75" hidden="false" customHeight="true" outlineLevel="0" collapsed="false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customFormat="false" ht="15.75" hidden="false" customHeight="true" outlineLevel="0" collapsed="false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customFormat="false" ht="15.75" hidden="false" customHeight="true" outlineLevel="0" collapsed="false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customFormat="false" ht="15.75" hidden="false" customHeight="true" outlineLevel="0" collapsed="false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customFormat="false" ht="15.75" hidden="false" customHeight="true" outlineLevel="0" collapsed="false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customFormat="false" ht="15.75" hidden="false" customHeight="true" outlineLevel="0" collapsed="false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customFormat="false" ht="15.75" hidden="false" customHeight="true" outlineLevel="0" collapsed="false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customFormat="false" ht="15.75" hidden="false" customHeight="true" outlineLevel="0" collapsed="false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customFormat="false" ht="15.75" hidden="false" customHeight="true" outlineLevel="0" collapsed="false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"15.75" hidden="false" customHeight="true" outlineLevel="0" collapsed="false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customFormat="false" ht="15.75" hidden="false" customHeight="true" outlineLevel="0" collapsed="false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customFormat="false" ht="15.75" hidden="false" customHeight="true" outlineLevel="0" collapsed="false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customFormat="false" ht="15.75" hidden="false" customHeight="true" outlineLevel="0" collapsed="false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customFormat="false" ht="15.75" hidden="false" customHeight="true" outlineLevel="0" collapsed="false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customFormat="false" ht="15.75" hidden="false" customHeight="true" outlineLevel="0" collapsed="false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customFormat="false" ht="15.75" hidden="false" customHeight="true" outlineLevel="0" collapsed="false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customFormat="false" ht="15.75" hidden="false" customHeight="true" outlineLevel="0" collapsed="false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customFormat="false" ht="15.75" hidden="false" customHeight="true" outlineLevel="0" collapsed="false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customFormat="false" ht="15.75" hidden="false" customHeight="true" outlineLevel="0" collapsed="false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customFormat="false" ht="15.75" hidden="false" customHeight="true" outlineLevel="0" collapsed="false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customFormat="false" ht="15.75" hidden="false" customHeight="true" outlineLevel="0" collapsed="false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customFormat="false" ht="15.75" hidden="false" customHeight="true" outlineLevel="0" collapsed="false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customFormat="false" ht="15.75" hidden="false" customHeight="true" outlineLevel="0" collapsed="false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customFormat="false" ht="15.75" hidden="false" customHeight="true" outlineLevel="0" collapsed="false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customFormat="false" ht="15.75" hidden="false" customHeight="true" outlineLevel="0" collapsed="false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customFormat="false" ht="15.75" hidden="false" customHeight="true" outlineLevel="0" collapsed="false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customFormat="false" ht="15.75" hidden="false" customHeight="true" outlineLevel="0" collapsed="false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customFormat="false" ht="15.75" hidden="false" customHeight="true" outlineLevel="0" collapsed="false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customFormat="false" ht="15.75" hidden="false" customHeight="true" outlineLevel="0" collapsed="false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customFormat="false" ht="15.75" hidden="false" customHeight="true" outlineLevel="0" collapsed="false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customFormat="false" ht="15.75" hidden="false" customHeight="true" outlineLevel="0" collapsed="false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customFormat="false" ht="15.75" hidden="false" customHeight="true" outlineLevel="0" collapsed="false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customFormat="false" ht="15.75" hidden="false" customHeight="true" outlineLevel="0" collapsed="false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mergeCells count="8">
    <mergeCell ref="A1:K1"/>
    <mergeCell ref="A2:K2"/>
    <mergeCell ref="J6:K6"/>
    <mergeCell ref="J7:K7"/>
    <mergeCell ref="J8:K8"/>
    <mergeCell ref="J9:K9"/>
    <mergeCell ref="J10:K10"/>
    <mergeCell ref="D13:G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E1" colorId="64" zoomScale="55" zoomScaleNormal="55" zoomScalePageLayoutView="100" workbookViewId="0">
      <selection pane="topLeft" activeCell="T13" activeCellId="0" sqref="T13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23"/>
    <col collapsed="false" customWidth="true" hidden="false" outlineLevel="0" max="4" min="2" style="1" width="25.71"/>
    <col collapsed="false" customWidth="true" hidden="false" outlineLevel="0" max="5" min="5" style="1" width="26.29"/>
    <col collapsed="false" customWidth="true" hidden="false" outlineLevel="0" max="14" min="6" style="1" width="25.71"/>
    <col collapsed="false" customWidth="true" hidden="false" outlineLevel="0" max="16" min="15" style="1" width="25.8"/>
    <col collapsed="false" customWidth="true" hidden="false" outlineLevel="0" max="17" min="17" style="1" width="25.71"/>
    <col collapsed="false" customWidth="true" hidden="false" outlineLevel="0" max="18" min="18" style="1" width="18.71"/>
    <col collapsed="false" customWidth="true" hidden="false" outlineLevel="0" max="20" min="19" style="1" width="25.8"/>
    <col collapsed="false" customWidth="true" hidden="false" outlineLevel="0" max="26" min="21" style="1" width="18.71"/>
  </cols>
  <sheetData>
    <row r="1" customFormat="false" ht="29.15" hidden="false" customHeight="false" outlineLevel="0" collapsed="false">
      <c r="A1" s="31" t="s">
        <v>99</v>
      </c>
      <c r="B1" s="31"/>
      <c r="C1" s="31"/>
      <c r="D1" s="31"/>
      <c r="E1" s="31"/>
      <c r="F1" s="31"/>
      <c r="G1" s="31"/>
      <c r="H1" s="32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52"/>
      <c r="V1" s="33"/>
      <c r="W1" s="33"/>
      <c r="X1" s="33"/>
      <c r="Y1" s="33"/>
      <c r="Z1" s="33"/>
    </row>
    <row r="2" customFormat="false" ht="54.75" hidden="false" customHeight="true" outlineLevel="0" collapsed="false">
      <c r="A2" s="34" t="s">
        <v>100</v>
      </c>
      <c r="B2" s="34"/>
      <c r="C2" s="34"/>
      <c r="D2" s="34"/>
      <c r="E2" s="34"/>
      <c r="F2" s="34"/>
      <c r="G2" s="34"/>
      <c r="H2" s="35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customFormat="false" ht="19.5" hidden="false" customHeight="true" outlineLevel="0" collapsed="false">
      <c r="A3" s="53" t="s">
        <v>101</v>
      </c>
      <c r="B3" s="53"/>
      <c r="C3" s="43"/>
      <c r="D3" s="39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customFormat="false" ht="19.5" hidden="false" customHeight="true" outlineLevel="0" collapsed="false">
      <c r="A4" s="53" t="s">
        <v>102</v>
      </c>
      <c r="B4" s="53"/>
      <c r="C4" s="54" t="n">
        <v>10</v>
      </c>
      <c r="D4" s="39"/>
      <c r="F4" s="39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customFormat="false" ht="19.5" hidden="false" customHeight="true" outlineLevel="0" collapsed="false">
      <c r="A5" s="53" t="s">
        <v>103</v>
      </c>
      <c r="B5" s="53"/>
      <c r="C5" s="54" t="n">
        <v>20</v>
      </c>
      <c r="D5" s="39"/>
      <c r="F5" s="39"/>
      <c r="G5" s="38"/>
      <c r="H5" s="38"/>
      <c r="I5" s="38"/>
      <c r="J5" s="38"/>
      <c r="K5" s="38"/>
      <c r="L5" s="38" t="s">
        <v>104</v>
      </c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customFormat="false" ht="19.5" hidden="false" customHeight="true" outlineLevel="0" collapsed="false">
      <c r="A6" s="53" t="s">
        <v>105</v>
      </c>
      <c r="B6" s="53"/>
      <c r="C6" s="54" t="n">
        <f aca="false">SUM(C4:C5)</f>
        <v>30</v>
      </c>
      <c r="D6" s="39"/>
      <c r="E6" s="39"/>
      <c r="F6" s="39"/>
      <c r="G6" s="38"/>
      <c r="H6" s="38"/>
      <c r="I6" s="38"/>
      <c r="J6" s="38"/>
      <c r="K6" s="38"/>
      <c r="L6" s="39" t="n">
        <v>399</v>
      </c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customFormat="false" ht="19.5" hidden="false" customHeight="true" outlineLevel="0" collapsed="false">
      <c r="A7" s="53" t="s">
        <v>106</v>
      </c>
      <c r="B7" s="53"/>
      <c r="C7" s="54" t="n">
        <f aca="false">0.35/100</f>
        <v>0.0035</v>
      </c>
      <c r="D7" s="39"/>
      <c r="E7" s="39"/>
      <c r="F7" s="39"/>
      <c r="G7" s="38"/>
      <c r="H7" s="38"/>
      <c r="I7" s="38"/>
      <c r="J7" s="38"/>
      <c r="K7" s="38"/>
      <c r="L7" s="39" t="n">
        <f aca="false">L6-40</f>
        <v>359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customFormat="false" ht="23.25" hidden="false" customHeight="true" outlineLevel="0" collapsed="false">
      <c r="A8" s="38"/>
      <c r="B8" s="38"/>
      <c r="C8" s="38"/>
      <c r="D8" s="38"/>
      <c r="E8" s="55"/>
      <c r="F8" s="55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customFormat="false" ht="57" hidden="false" customHeight="true" outlineLevel="0" collapsed="false">
      <c r="A9" s="38"/>
      <c r="B9" s="56" t="s">
        <v>107</v>
      </c>
      <c r="C9" s="38"/>
      <c r="D9" s="42" t="s">
        <v>108</v>
      </c>
      <c r="E9" s="57"/>
      <c r="F9" s="56" t="s">
        <v>107</v>
      </c>
      <c r="G9" s="38"/>
      <c r="H9" s="42" t="s">
        <v>108</v>
      </c>
      <c r="I9" s="38"/>
      <c r="J9" s="56" t="s">
        <v>107</v>
      </c>
      <c r="K9" s="38"/>
      <c r="L9" s="42" t="s">
        <v>108</v>
      </c>
      <c r="M9" s="38"/>
      <c r="N9" s="56" t="s">
        <v>107</v>
      </c>
      <c r="O9" s="38"/>
      <c r="P9" s="42" t="s">
        <v>108</v>
      </c>
      <c r="Q9" s="38"/>
      <c r="R9" s="56" t="s">
        <v>107</v>
      </c>
      <c r="S9" s="38"/>
      <c r="T9" s="42" t="s">
        <v>108</v>
      </c>
      <c r="U9" s="38"/>
      <c r="V9" s="38"/>
      <c r="W9" s="38"/>
      <c r="X9" s="38"/>
      <c r="Y9" s="38"/>
      <c r="Z9" s="38"/>
    </row>
    <row r="10" customFormat="false" ht="24" hidden="false" customHeight="true" outlineLevel="0" collapsed="false">
      <c r="A10" s="38"/>
      <c r="B10" s="56"/>
      <c r="C10" s="58" t="s">
        <v>109</v>
      </c>
      <c r="D10" s="59" t="n">
        <v>0.045</v>
      </c>
      <c r="E10" s="60"/>
      <c r="F10" s="56"/>
      <c r="G10" s="58" t="s">
        <v>109</v>
      </c>
      <c r="H10" s="59" t="n">
        <v>0.026</v>
      </c>
      <c r="I10" s="38"/>
      <c r="J10" s="56"/>
      <c r="K10" s="58" t="s">
        <v>109</v>
      </c>
      <c r="L10" s="59" t="n">
        <v>0.12</v>
      </c>
      <c r="M10" s="38"/>
      <c r="N10" s="56"/>
      <c r="O10" s="58" t="s">
        <v>109</v>
      </c>
      <c r="P10" s="59" t="n">
        <v>0.013</v>
      </c>
      <c r="Q10" s="38"/>
      <c r="R10" s="56"/>
      <c r="S10" s="58" t="s">
        <v>109</v>
      </c>
      <c r="T10" s="59" t="n">
        <v>0.009</v>
      </c>
      <c r="U10" s="38"/>
      <c r="V10" s="38"/>
      <c r="W10" s="38"/>
      <c r="X10" s="38"/>
      <c r="Y10" s="38"/>
      <c r="Z10" s="38"/>
    </row>
    <row r="11" customFormat="false" ht="24" hidden="false" customHeight="true" outlineLevel="0" collapsed="false">
      <c r="A11" s="38"/>
      <c r="B11" s="56"/>
      <c r="C11" s="58" t="s">
        <v>110</v>
      </c>
      <c r="D11" s="59" t="n">
        <v>0.046</v>
      </c>
      <c r="E11" s="60"/>
      <c r="F11" s="56"/>
      <c r="G11" s="58" t="s">
        <v>110</v>
      </c>
      <c r="H11" s="59" t="n">
        <v>0.024</v>
      </c>
      <c r="I11" s="38"/>
      <c r="J11" s="56"/>
      <c r="K11" s="58" t="s">
        <v>110</v>
      </c>
      <c r="L11" s="59" t="n">
        <v>0.19</v>
      </c>
      <c r="M11" s="38"/>
      <c r="N11" s="56"/>
      <c r="O11" s="58" t="s">
        <v>110</v>
      </c>
      <c r="P11" s="59" t="n">
        <v>0.014</v>
      </c>
      <c r="Q11" s="38"/>
      <c r="R11" s="56"/>
      <c r="S11" s="58" t="s">
        <v>110</v>
      </c>
      <c r="T11" s="59" t="n">
        <v>0.01</v>
      </c>
      <c r="U11" s="38"/>
      <c r="V11" s="38"/>
      <c r="W11" s="38"/>
      <c r="X11" s="38"/>
      <c r="Y11" s="38"/>
      <c r="Z11" s="38"/>
    </row>
    <row r="12" customFormat="false" ht="24" hidden="false" customHeight="true" outlineLevel="0" collapsed="false">
      <c r="A12" s="38"/>
      <c r="B12" s="7" t="n">
        <v>0.01</v>
      </c>
      <c r="C12" s="58" t="s">
        <v>111</v>
      </c>
      <c r="D12" s="59" t="n">
        <v>0.042</v>
      </c>
      <c r="E12" s="60"/>
      <c r="F12" s="7" t="n">
        <v>0.02</v>
      </c>
      <c r="G12" s="58" t="s">
        <v>111</v>
      </c>
      <c r="H12" s="59" t="n">
        <v>0.22</v>
      </c>
      <c r="I12" s="38"/>
      <c r="J12" s="7" t="n">
        <v>0.03</v>
      </c>
      <c r="K12" s="58" t="s">
        <v>111</v>
      </c>
      <c r="L12" s="59" t="n">
        <v>0.02</v>
      </c>
      <c r="M12" s="38"/>
      <c r="N12" s="7" t="n">
        <v>0.04</v>
      </c>
      <c r="O12" s="58" t="s">
        <v>111</v>
      </c>
      <c r="P12" s="59" t="n">
        <v>0.013</v>
      </c>
      <c r="Q12" s="38"/>
      <c r="R12" s="7" t="n">
        <v>0.05</v>
      </c>
      <c r="S12" s="58" t="s">
        <v>111</v>
      </c>
      <c r="T12" s="59" t="n">
        <v>0.01</v>
      </c>
      <c r="U12" s="38"/>
      <c r="V12" s="38"/>
      <c r="W12" s="38"/>
      <c r="X12" s="38"/>
      <c r="Y12" s="38"/>
      <c r="Z12" s="38"/>
    </row>
    <row r="13" customFormat="false" ht="57" hidden="false" customHeight="true" outlineLevel="0" collapsed="false">
      <c r="A13" s="38"/>
      <c r="B13" s="38"/>
      <c r="C13" s="42" t="s">
        <v>112</v>
      </c>
      <c r="D13" s="59"/>
      <c r="E13" s="3"/>
      <c r="F13" s="38"/>
      <c r="G13" s="42" t="s">
        <v>112</v>
      </c>
      <c r="H13" s="59"/>
      <c r="I13" s="38"/>
      <c r="J13" s="38"/>
      <c r="K13" s="42" t="s">
        <v>112</v>
      </c>
      <c r="L13" s="59"/>
      <c r="M13" s="38"/>
      <c r="N13" s="38"/>
      <c r="O13" s="42" t="s">
        <v>112</v>
      </c>
      <c r="P13" s="59"/>
      <c r="Q13" s="38"/>
      <c r="R13" s="38"/>
      <c r="S13" s="42" t="s">
        <v>112</v>
      </c>
      <c r="T13" s="59"/>
      <c r="U13" s="38"/>
      <c r="V13" s="38"/>
      <c r="W13" s="38"/>
      <c r="X13" s="38"/>
      <c r="Y13" s="38"/>
      <c r="Z13" s="38"/>
    </row>
    <row r="14" customFormat="false" ht="21" hidden="false" customHeight="true" outlineLevel="0" collapsed="false">
      <c r="A14" s="38"/>
      <c r="B14" s="38"/>
      <c r="C14" s="42" t="s">
        <v>113</v>
      </c>
      <c r="D14" s="47"/>
      <c r="E14" s="3"/>
      <c r="F14" s="3"/>
      <c r="G14" s="42" t="s">
        <v>113</v>
      </c>
      <c r="H14" s="47"/>
      <c r="I14" s="38"/>
      <c r="J14" s="38"/>
      <c r="K14" s="42" t="s">
        <v>113</v>
      </c>
      <c r="L14" s="47"/>
      <c r="M14" s="38"/>
      <c r="N14" s="38"/>
      <c r="O14" s="42" t="s">
        <v>113</v>
      </c>
      <c r="P14" s="47"/>
      <c r="Q14" s="38"/>
      <c r="R14" s="38"/>
      <c r="S14" s="42" t="s">
        <v>113</v>
      </c>
      <c r="T14" s="47"/>
      <c r="U14" s="38"/>
      <c r="V14" s="38"/>
      <c r="W14" s="38"/>
      <c r="X14" s="38"/>
      <c r="Y14" s="38"/>
      <c r="Z14" s="38"/>
    </row>
    <row r="15" customFormat="false" ht="21" hidden="false" customHeight="true" outlineLevel="0" collapsed="false">
      <c r="A15" s="38"/>
      <c r="B15" s="38"/>
      <c r="C15" s="61" t="s">
        <v>114</v>
      </c>
      <c r="D15" s="43"/>
      <c r="E15" s="3"/>
      <c r="F15" s="3"/>
      <c r="G15" s="61" t="s">
        <v>114</v>
      </c>
      <c r="H15" s="43"/>
      <c r="I15" s="38"/>
      <c r="J15" s="38"/>
      <c r="K15" s="61" t="s">
        <v>114</v>
      </c>
      <c r="L15" s="43"/>
      <c r="M15" s="38"/>
      <c r="N15" s="38"/>
      <c r="O15" s="61" t="s">
        <v>114</v>
      </c>
      <c r="P15" s="43"/>
      <c r="Q15" s="38"/>
      <c r="R15" s="38"/>
      <c r="S15" s="61" t="s">
        <v>114</v>
      </c>
      <c r="T15" s="43"/>
      <c r="U15" s="38"/>
      <c r="V15" s="38"/>
      <c r="W15" s="38"/>
      <c r="X15" s="38"/>
      <c r="Y15" s="38"/>
      <c r="Z15" s="38"/>
    </row>
    <row r="16" customFormat="false" ht="21" hidden="false" customHeight="true" outlineLevel="0" collapsed="false">
      <c r="A16" s="38"/>
      <c r="B16" s="38"/>
      <c r="C16" s="61"/>
      <c r="D16" s="43"/>
      <c r="E16" s="3"/>
      <c r="F16" s="3"/>
      <c r="G16" s="61"/>
      <c r="H16" s="43"/>
      <c r="I16" s="38"/>
      <c r="J16" s="38"/>
      <c r="K16" s="61"/>
      <c r="L16" s="43"/>
      <c r="M16" s="38"/>
      <c r="N16" s="38"/>
      <c r="O16" s="61"/>
      <c r="P16" s="43"/>
      <c r="Q16" s="38"/>
      <c r="R16" s="38"/>
      <c r="S16" s="61"/>
      <c r="T16" s="43"/>
      <c r="U16" s="38"/>
      <c r="V16" s="38"/>
      <c r="W16" s="38"/>
      <c r="X16" s="38"/>
      <c r="Y16" s="38"/>
      <c r="Z16" s="38"/>
    </row>
    <row r="17" customFormat="false" ht="21" hidden="false" customHeight="true" outlineLevel="0" collapsed="false">
      <c r="A17" s="38"/>
      <c r="B17" s="38"/>
      <c r="C17" s="42" t="s">
        <v>115</v>
      </c>
      <c r="D17" s="43"/>
      <c r="E17" s="3"/>
      <c r="F17" s="3"/>
      <c r="G17" s="42" t="s">
        <v>115</v>
      </c>
      <c r="H17" s="43"/>
      <c r="I17" s="38"/>
      <c r="J17" s="38"/>
      <c r="K17" s="42" t="s">
        <v>115</v>
      </c>
      <c r="L17" s="43"/>
      <c r="M17" s="38"/>
      <c r="N17" s="38"/>
      <c r="O17" s="42" t="s">
        <v>115</v>
      </c>
      <c r="P17" s="43"/>
      <c r="Q17" s="38"/>
      <c r="R17" s="38"/>
      <c r="S17" s="42" t="s">
        <v>115</v>
      </c>
      <c r="T17" s="43"/>
      <c r="U17" s="38"/>
      <c r="V17" s="38"/>
      <c r="W17" s="38"/>
      <c r="X17" s="38"/>
      <c r="Y17" s="38"/>
      <c r="Z17" s="38"/>
    </row>
    <row r="18" customFormat="false" ht="21" hidden="false" customHeight="true" outlineLevel="0" collapsed="false">
      <c r="A18" s="38"/>
      <c r="B18" s="38"/>
      <c r="C18" s="42"/>
      <c r="D18" s="42"/>
      <c r="E18" s="3"/>
      <c r="F18" s="3"/>
      <c r="G18" s="42"/>
      <c r="H18" s="42"/>
      <c r="I18" s="38"/>
      <c r="J18" s="38"/>
      <c r="K18" s="42"/>
      <c r="L18" s="42"/>
      <c r="M18" s="38"/>
      <c r="N18" s="38"/>
      <c r="O18" s="42"/>
      <c r="P18" s="42"/>
      <c r="Q18" s="38"/>
      <c r="R18" s="38"/>
      <c r="S18" s="42"/>
      <c r="T18" s="42"/>
      <c r="U18" s="38"/>
      <c r="V18" s="38"/>
      <c r="W18" s="38"/>
      <c r="X18" s="38"/>
      <c r="Y18" s="38"/>
      <c r="Z18" s="38"/>
    </row>
    <row r="19" customFormat="false" ht="21" hidden="false" customHeight="true" outlineLevel="0" collapsed="false">
      <c r="A19" s="38"/>
      <c r="B19" s="38"/>
      <c r="C19" s="3"/>
      <c r="D19" s="3"/>
      <c r="E19" s="3"/>
      <c r="F19" s="3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customFormat="false" ht="21" hidden="false" customHeight="true" outlineLevel="0" collapsed="false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customFormat="false" ht="15.75" hidden="false" customHeight="true" outlineLevel="0" collapsed="false">
      <c r="A21" s="38"/>
      <c r="B21" s="42" t="s">
        <v>116</v>
      </c>
      <c r="C21" s="42" t="s">
        <v>117</v>
      </c>
      <c r="D21" s="43"/>
      <c r="E21" s="44"/>
      <c r="G21" s="43" t="s">
        <v>97</v>
      </c>
      <c r="H21" s="43"/>
      <c r="I21" s="43"/>
      <c r="J21" s="43"/>
      <c r="L21" s="45" t="s">
        <v>91</v>
      </c>
      <c r="M21" s="45"/>
      <c r="N21" s="45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customFormat="false" ht="15.75" hidden="false" customHeight="true" outlineLevel="0" collapsed="false">
      <c r="A22" s="38"/>
      <c r="B22" s="18"/>
      <c r="C22" s="18"/>
      <c r="D22" s="43"/>
      <c r="E22" s="43"/>
      <c r="G22" s="43"/>
      <c r="H22" s="43"/>
      <c r="I22" s="43"/>
      <c r="J22" s="43"/>
      <c r="L22" s="46" t="s">
        <v>92</v>
      </c>
      <c r="M22" s="46"/>
      <c r="N22" s="4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customFormat="false" ht="15.75" hidden="false" customHeight="true" outlineLevel="0" collapsed="false">
      <c r="A23" s="38"/>
      <c r="B23" s="18"/>
      <c r="C23" s="18"/>
      <c r="D23" s="43"/>
      <c r="E23" s="47"/>
      <c r="G23" s="43"/>
      <c r="H23" s="43"/>
      <c r="I23" s="43"/>
      <c r="J23" s="43"/>
      <c r="L23" s="48" t="s">
        <v>93</v>
      </c>
      <c r="M23" s="48"/>
      <c r="N23" s="4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customFormat="false" ht="15.75" hidden="false" customHeight="true" outlineLevel="0" collapsed="false">
      <c r="A24" s="38"/>
      <c r="B24" s="18"/>
      <c r="C24" s="18"/>
      <c r="D24" s="43"/>
      <c r="E24" s="47"/>
      <c r="G24" s="43"/>
      <c r="H24" s="43"/>
      <c r="I24" s="43"/>
      <c r="J24" s="43"/>
      <c r="L24" s="49" t="s">
        <v>94</v>
      </c>
      <c r="M24" s="49"/>
      <c r="N24" s="49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customFormat="false" ht="15.75" hidden="false" customHeight="true" outlineLevel="0" collapsed="false">
      <c r="A25" s="38"/>
      <c r="B25" s="18"/>
      <c r="C25" s="18"/>
      <c r="D25" s="43"/>
      <c r="E25" s="47"/>
      <c r="G25" s="43"/>
      <c r="H25" s="43"/>
      <c r="I25" s="43"/>
      <c r="J25" s="43"/>
      <c r="L25" s="50" t="s">
        <v>95</v>
      </c>
      <c r="M25" s="50"/>
      <c r="N25" s="50" t="n">
        <f aca="false">SUM(N21:N24)</f>
        <v>0</v>
      </c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customFormat="false" ht="15.75" hidden="false" customHeight="true" outlineLevel="0" collapsed="false">
      <c r="A26" s="38"/>
      <c r="B26" s="18"/>
      <c r="C26" s="18"/>
      <c r="D26" s="43"/>
      <c r="E26" s="47"/>
      <c r="G26" s="43"/>
      <c r="H26" s="43"/>
      <c r="I26" s="43"/>
      <c r="J26" s="43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customFormat="false" ht="21" hidden="false" customHeight="true" outlineLevel="0" collapsed="false">
      <c r="A27" s="38"/>
      <c r="G27" s="43"/>
      <c r="H27" s="43"/>
      <c r="I27" s="43"/>
      <c r="J27" s="43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customFormat="false" ht="21" hidden="false" customHeight="true" outlineLevel="0" collapsed="false">
      <c r="A28" s="38"/>
      <c r="G28" s="43"/>
      <c r="H28" s="43"/>
      <c r="I28" s="43"/>
      <c r="J28" s="43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customFormat="false" ht="21" hidden="false" customHeight="true" outlineLevel="0" collapsed="false">
      <c r="A29" s="38"/>
      <c r="B29" s="62" t="s">
        <v>118</v>
      </c>
      <c r="C29" s="62"/>
      <c r="D29" s="63"/>
      <c r="G29" s="43"/>
      <c r="H29" s="43"/>
      <c r="I29" s="43"/>
      <c r="J29" s="43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customFormat="false" ht="24.75" hidden="false" customHeight="true" outlineLevel="0" collapsed="false">
      <c r="A30" s="38"/>
      <c r="B30" s="62" t="s">
        <v>119</v>
      </c>
      <c r="C30" s="62"/>
      <c r="D30" s="63"/>
      <c r="G30" s="43"/>
      <c r="H30" s="43"/>
      <c r="I30" s="43"/>
      <c r="J30" s="43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customFormat="false" ht="21" hidden="false" customHeight="true" outlineLevel="0" collapsed="false">
      <c r="A31" s="38"/>
      <c r="B31" s="62" t="s">
        <v>120</v>
      </c>
      <c r="C31" s="62"/>
      <c r="D31" s="63"/>
      <c r="G31" s="43"/>
      <c r="H31" s="43"/>
      <c r="I31" s="43"/>
      <c r="J31" s="43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customFormat="false" ht="21" hidden="false" customHeight="true" outlineLevel="0" collapsed="false">
      <c r="A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customFormat="false" ht="21" hidden="false" customHeight="true" outlineLevel="0" collapsed="false">
      <c r="A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customFormat="false" ht="21" hidden="false" customHeight="true" outlineLevel="0" collapsed="false">
      <c r="A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customFormat="false" ht="21" hidden="false" customHeight="true" outlineLevel="0" collapsed="false">
      <c r="A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customFormat="false" ht="21" hidden="false" customHeight="true" outlineLevel="0" collapsed="false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customFormat="false" ht="21" hidden="false" customHeight="true" outlineLevel="0" collapsed="false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customFormat="false" ht="21" hidden="false" customHeight="true" outlineLevel="0" collapsed="false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customFormat="false" ht="21" hidden="false" customHeight="true" outlineLevel="0" collapsed="false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customFormat="false" ht="21" hidden="false" customHeight="true" outlineLevel="0" collapsed="false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customFormat="false" ht="21" hidden="false" customHeight="true" outlineLevel="0" collapsed="false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customFormat="false" ht="21" hidden="false" customHeight="true" outlineLevel="0" collapsed="false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customFormat="false" ht="21" hidden="false" customHeight="true" outlineLevel="0" collapsed="false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customFormat="false" ht="21" hidden="false" customHeight="true" outlineLevel="0" collapsed="false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customFormat="false" ht="21" hidden="false" customHeight="true" outlineLevel="0" collapsed="false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customFormat="false" ht="21" hidden="false" customHeight="true" outlineLevel="0" collapsed="false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customFormat="false" ht="21" hidden="false" customHeight="true" outlineLevel="0" collapsed="false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customFormat="false" ht="21" hidden="false" customHeight="true" outlineLevel="0" collapsed="false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customFormat="false" ht="21" hidden="false" customHeight="true" outlineLevel="0" collapsed="false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customFormat="false" ht="21" hidden="false" customHeight="true" outlineLevel="0" collapsed="false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customFormat="false" ht="21" hidden="false" customHeight="true" outlineLevel="0" collapsed="false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customFormat="false" ht="21" hidden="false" customHeight="true" outlineLevel="0" collapsed="false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customFormat="false" ht="21" hidden="false" customHeight="true" outlineLevel="0" collapsed="false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customFormat="false" ht="21" hidden="false" customHeight="true" outlineLevel="0" collapsed="false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customFormat="false" ht="21" hidden="false" customHeight="true" outlineLevel="0" collapsed="false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customFormat="false" ht="21" hidden="false" customHeight="true" outlineLevel="0" collapsed="false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customFormat="false" ht="21" hidden="false" customHeight="true" outlineLevel="0" collapsed="false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customFormat="false" ht="21" hidden="false" customHeight="true" outlineLevel="0" collapsed="false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customFormat="false" ht="21" hidden="false" customHeight="true" outlineLevel="0" collapsed="false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customFormat="false" ht="21" hidden="false" customHeight="true" outlineLevel="0" collapsed="false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customFormat="false" ht="21" hidden="false" customHeight="true" outlineLevel="0" collapsed="false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customFormat="false" ht="21" hidden="false" customHeight="true" outlineLevel="0" collapsed="false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customFormat="false" ht="21" hidden="false" customHeight="true" outlineLevel="0" collapsed="false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customFormat="false" ht="21" hidden="false" customHeight="true" outlineLevel="0" collapsed="false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customFormat="false" ht="21" hidden="false" customHeight="true" outlineLevel="0" collapsed="false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customFormat="false" ht="21" hidden="false" customHeight="true" outlineLevel="0" collapsed="false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customFormat="false" ht="21" hidden="false" customHeight="true" outlineLevel="0" collapsed="false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customFormat="false" ht="21" hidden="false" customHeight="true" outlineLevel="0" collapsed="false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customFormat="false" ht="21" hidden="false" customHeight="true" outlineLevel="0" collapsed="false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customFormat="false" ht="21" hidden="false" customHeight="true" outlineLevel="0" collapsed="false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customFormat="false" ht="21" hidden="false" customHeight="true" outlineLevel="0" collapsed="false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customFormat="false" ht="15.75" hidden="false" customHeight="true" outlineLevel="0" collapsed="false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customFormat="false" ht="15.75" hidden="false" customHeight="true" outlineLevel="0" collapsed="false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customFormat="false" ht="15.75" hidden="false" customHeight="true" outlineLevel="0" collapsed="false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customFormat="false" ht="15.75" hidden="false" customHeight="true" outlineLevel="0" collapsed="false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customFormat="false" ht="15.75" hidden="false" customHeight="true" outlineLevel="0" collapsed="false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customFormat="false" ht="15.75" hidden="false" customHeight="true" outlineLevel="0" collapsed="false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customFormat="false" ht="15.75" hidden="false" customHeight="true" outlineLevel="0" collapsed="false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customFormat="false" ht="15.75" hidden="false" customHeight="true" outlineLevel="0" collapsed="false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customFormat="false" ht="15.75" hidden="false" customHeight="true" outlineLevel="0" collapsed="false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customFormat="false" ht="15.75" hidden="false" customHeight="true" outlineLevel="0" collapsed="false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customFormat="false" ht="15.75" hidden="false" customHeight="true" outlineLevel="0" collapsed="false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customFormat="false" ht="15.75" hidden="false" customHeight="true" outlineLevel="0" collapsed="false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customFormat="false" ht="15.75" hidden="false" customHeight="true" outlineLevel="0" collapsed="false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customFormat="false" ht="15.75" hidden="false" customHeight="true" outlineLevel="0" collapsed="false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customFormat="false" ht="15.75" hidden="false" customHeight="true" outlineLevel="0" collapsed="false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customFormat="false" ht="15.75" hidden="false" customHeight="true" outlineLevel="0" collapsed="false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customFormat="false" ht="15.75" hidden="false" customHeight="true" outlineLevel="0" collapsed="false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customFormat="false" ht="15.75" hidden="false" customHeight="true" outlineLevel="0" collapsed="false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customFormat="false" ht="15.75" hidden="false" customHeight="true" outlineLevel="0" collapsed="false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customFormat="false" ht="15.75" hidden="false" customHeight="true" outlineLevel="0" collapsed="false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customFormat="false" ht="15.75" hidden="false" customHeight="true" outlineLevel="0" collapsed="false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customFormat="false" ht="15.75" hidden="false" customHeight="true" outlineLevel="0" collapsed="false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customFormat="false" ht="15.75" hidden="false" customHeight="true" outlineLevel="0" collapsed="false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customFormat="false" ht="15.75" hidden="false" customHeight="true" outlineLevel="0" collapsed="false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customFormat="false" ht="15.75" hidden="false" customHeight="true" outlineLevel="0" collapsed="false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customFormat="false" ht="15.75" hidden="false" customHeight="true" outlineLevel="0" collapsed="false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customFormat="false" ht="15.75" hidden="false" customHeight="true" outlineLevel="0" collapsed="false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customFormat="false" ht="15.75" hidden="false" customHeight="true" outlineLevel="0" collapsed="false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customFormat="false" ht="15.75" hidden="false" customHeight="true" outlineLevel="0" collapsed="false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customFormat="false" ht="15.75" hidden="false" customHeight="tru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customFormat="false" ht="15.75" hidden="false" customHeight="true" outlineLevel="0" collapsed="false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customFormat="false" ht="15.75" hidden="false" customHeight="true" outlineLevel="0" collapsed="false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customFormat="false" ht="15.75" hidden="false" customHeight="true" outlineLevel="0" collapsed="false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customFormat="false" ht="15.75" hidden="false" customHeight="true" outlineLevel="0" collapsed="false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customFormat="false" ht="15.75" hidden="false" customHeight="true" outlineLevel="0" collapsed="false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customFormat="false" ht="15.75" hidden="false" customHeight="true" outlineLevel="0" collapsed="false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customFormat="false" ht="15.75" hidden="false" customHeight="true" outlineLevel="0" collapsed="false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customFormat="false" ht="15.75" hidden="false" customHeight="true" outlineLevel="0" collapsed="false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customFormat="false" ht="15.75" hidden="false" customHeight="true" outlineLevel="0" collapsed="false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customFormat="false" ht="15.75" hidden="false" customHeight="true" outlineLevel="0" collapsed="false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customFormat="false" ht="15.75" hidden="false" customHeight="true" outlineLevel="0" collapsed="false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customFormat="false" ht="15.75" hidden="false" customHeight="true" outlineLevel="0" collapsed="false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customFormat="false" ht="15.75" hidden="false" customHeight="true" outlineLevel="0" collapsed="false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customFormat="false" ht="15.75" hidden="false" customHeight="true" outlineLevel="0" collapsed="false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customFormat="false" ht="15.75" hidden="false" customHeight="true" outlineLevel="0" collapsed="false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customFormat="false" ht="15.75" hidden="false" customHeight="true" outlineLevel="0" collapsed="false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customFormat="false" ht="15.75" hidden="false" customHeight="true" outlineLevel="0" collapsed="false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customFormat="false" ht="15.75" hidden="false" customHeight="true" outlineLevel="0" collapsed="false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customFormat="false" ht="15.75" hidden="false" customHeight="true" outlineLevel="0" collapsed="false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customFormat="false" ht="15.75" hidden="false" customHeight="true" outlineLevel="0" collapsed="false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customFormat="false" ht="15.75" hidden="false" customHeight="true" outlineLevel="0" collapsed="false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customFormat="false" ht="15.75" hidden="false" customHeight="true" outlineLevel="0" collapsed="false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customFormat="false" ht="15.75" hidden="false" customHeight="true" outlineLevel="0" collapsed="false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customFormat="false" ht="15.75" hidden="false" customHeight="true" outlineLevel="0" collapsed="false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customFormat="false" ht="15.75" hidden="false" customHeight="true" outlineLevel="0" collapsed="false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customFormat="false" ht="15.75" hidden="false" customHeight="true" outlineLevel="0" collapsed="false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customFormat="false" ht="15.75" hidden="false" customHeight="true" outlineLevel="0" collapsed="false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customFormat="false" ht="15.75" hidden="false" customHeight="true" outlineLevel="0" collapsed="false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customFormat="false" ht="15.75" hidden="false" customHeight="true" outlineLevel="0" collapsed="false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customFormat="false" ht="15.75" hidden="false" customHeight="true" outlineLevel="0" collapsed="false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customFormat="false" ht="15.75" hidden="false" customHeight="true" outlineLevel="0" collapsed="false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customFormat="false" ht="15.75" hidden="false" customHeight="true" outlineLevel="0" collapsed="false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customFormat="false" ht="15.75" hidden="false" customHeight="true" outlineLevel="0" collapsed="false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customFormat="false" ht="15.75" hidden="false" customHeight="true" outlineLevel="0" collapsed="false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customFormat="false" ht="15.75" hidden="false" customHeight="true" outlineLevel="0" collapsed="false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customFormat="false" ht="15.75" hidden="false" customHeight="true" outlineLevel="0" collapsed="false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customFormat="false" ht="15.75" hidden="false" customHeight="true" outlineLevel="0" collapsed="false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customFormat="false" ht="15.75" hidden="false" customHeight="true" outlineLevel="0" collapsed="false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customFormat="false" ht="15.75" hidden="false" customHeight="true" outlineLevel="0" collapsed="false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customFormat="false" ht="15.75" hidden="false" customHeight="true" outlineLevel="0" collapsed="false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customFormat="false" ht="15.75" hidden="false" customHeight="true" outlineLevel="0" collapsed="false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customFormat="false" ht="15.75" hidden="false" customHeight="true" outlineLevel="0" collapsed="false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customFormat="false" ht="15.75" hidden="false" customHeight="true" outlineLevel="0" collapsed="false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customFormat="false" ht="15.75" hidden="false" customHeight="true" outlineLevel="0" collapsed="false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customFormat="false" ht="15.75" hidden="false" customHeight="true" outlineLevel="0" collapsed="false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customFormat="false" ht="15.75" hidden="false" customHeight="true" outlineLevel="0" collapsed="false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customFormat="false" ht="15.75" hidden="false" customHeight="true" outlineLevel="0" collapsed="false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customFormat="false" ht="15.75" hidden="false" customHeight="true" outlineLevel="0" collapsed="false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customFormat="false" ht="15.75" hidden="false" customHeight="true" outlineLevel="0" collapsed="false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customFormat="false" ht="15.75" hidden="false" customHeight="true" outlineLevel="0" collapsed="false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customFormat="false" ht="15.75" hidden="false" customHeight="true" outlineLevel="0" collapsed="false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customFormat="false" ht="15.75" hidden="false" customHeight="true" outlineLevel="0" collapsed="false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customFormat="false" ht="15.75" hidden="false" customHeight="true" outlineLevel="0" collapsed="false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customFormat="false" ht="15.75" hidden="false" customHeight="true" outlineLevel="0" collapsed="false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customFormat="false" ht="15.75" hidden="false" customHeight="true" outlineLevel="0" collapsed="false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customFormat="false" ht="15.75" hidden="false" customHeight="true" outlineLevel="0" collapsed="false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customFormat="false" ht="15.75" hidden="false" customHeight="true" outlineLevel="0" collapsed="false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customFormat="false" ht="15.75" hidden="false" customHeight="true" outlineLevel="0" collapsed="false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customFormat="false" ht="15.75" hidden="false" customHeight="true" outlineLevel="0" collapsed="false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customFormat="false" ht="15.75" hidden="false" customHeight="true" outlineLevel="0" collapsed="false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customFormat="false" ht="15.75" hidden="false" customHeight="true" outlineLevel="0" collapsed="false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customFormat="false" ht="15.75" hidden="false" customHeight="true" outlineLevel="0" collapsed="false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customFormat="false" ht="15.75" hidden="false" customHeight="true" outlineLevel="0" collapsed="false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customFormat="false" ht="15.75" hidden="false" customHeight="true" outlineLevel="0" collapsed="false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customFormat="false" ht="15.75" hidden="false" customHeight="true" outlineLevel="0" collapsed="false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customFormat="false" ht="15.75" hidden="false" customHeight="true" outlineLevel="0" collapsed="false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customFormat="false" ht="15.75" hidden="false" customHeight="true" outlineLevel="0" collapsed="false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customFormat="false" ht="15.75" hidden="false" customHeight="true" outlineLevel="0" collapsed="false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customFormat="false" ht="15.75" hidden="false" customHeight="true" outlineLevel="0" collapsed="false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customFormat="false" ht="15.75" hidden="false" customHeight="true" outlineLevel="0" collapsed="false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customFormat="false" ht="15.75" hidden="false" customHeight="true" outlineLevel="0" collapsed="false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customFormat="false" ht="15.75" hidden="false" customHeight="true" outlineLevel="0" collapsed="false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customFormat="false" ht="15.75" hidden="false" customHeight="true" outlineLevel="0" collapsed="false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customFormat="false" ht="15.75" hidden="false" customHeight="true" outlineLevel="0" collapsed="false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customFormat="false" ht="15.75" hidden="false" customHeight="true" outlineLevel="0" collapsed="false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customFormat="false" ht="15.75" hidden="false" customHeight="true" outlineLevel="0" collapsed="false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customFormat="false" ht="15.75" hidden="false" customHeight="true" outlineLevel="0" collapsed="false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customFormat="false" ht="15.75" hidden="false" customHeight="true" outlineLevel="0" collapsed="false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customFormat="false" ht="15.75" hidden="false" customHeight="true" outlineLevel="0" collapsed="false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customFormat="false" ht="15.75" hidden="false" customHeight="true" outlineLevel="0" collapsed="false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customFormat="false" ht="15.75" hidden="false" customHeight="true" outlineLevel="0" collapsed="false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customFormat="false" ht="15.75" hidden="false" customHeight="true" outlineLevel="0" collapsed="false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customFormat="false" ht="15.75" hidden="false" customHeight="true" outlineLevel="0" collapsed="false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customFormat="false" ht="15.75" hidden="false" customHeight="true" outlineLevel="0" collapsed="false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customFormat="false" ht="15.75" hidden="false" customHeight="true" outlineLevel="0" collapsed="false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customFormat="false" ht="15.75" hidden="false" customHeight="true" outlineLevel="0" collapsed="false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customFormat="false" ht="15.75" hidden="false" customHeight="true" outlineLevel="0" collapsed="false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customFormat="false" ht="15.75" hidden="false" customHeight="true" outlineLevel="0" collapsed="false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customFormat="false" ht="15.75" hidden="false" customHeight="true" outlineLevel="0" collapsed="false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customFormat="false" ht="15.75" hidden="false" customHeight="true" outlineLevel="0" collapsed="false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customFormat="false" ht="15.75" hidden="false" customHeight="true" outlineLevel="0" collapsed="false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customFormat="false" ht="15.75" hidden="false" customHeight="true" outlineLevel="0" collapsed="false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customFormat="false" ht="15.75" hidden="false" customHeight="true" outlineLevel="0" collapsed="false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customFormat="false" ht="15.75" hidden="false" customHeight="true" outlineLevel="0" collapsed="false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customFormat="false" ht="15.75" hidden="false" customHeight="true" outlineLevel="0" collapsed="false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customFormat="false" ht="15.75" hidden="false" customHeight="true" outlineLevel="0" collapsed="false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customFormat="false" ht="15.75" hidden="false" customHeight="true" outlineLevel="0" collapsed="false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customFormat="false" ht="15.75" hidden="false" customHeight="true" outlineLevel="0" collapsed="false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customFormat="false" ht="15.75" hidden="false" customHeight="true" outlineLevel="0" collapsed="false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customFormat="false" ht="15.75" hidden="false" customHeight="true" outlineLevel="0" collapsed="false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customFormat="false" ht="15.75" hidden="false" customHeight="true" outlineLevel="0" collapsed="false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customFormat="false" ht="15.75" hidden="false" customHeight="true" outlineLevel="0" collapsed="false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customFormat="false" ht="15.75" hidden="false" customHeight="true" outlineLevel="0" collapsed="false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customFormat="false" ht="15.75" hidden="false" customHeight="true" outlineLevel="0" collapsed="false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customFormat="false" ht="15.75" hidden="false" customHeight="true" outlineLevel="0" collapsed="false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customFormat="false" ht="15.75" hidden="false" customHeight="true" outlineLevel="0" collapsed="false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customFormat="false" ht="15.75" hidden="false" customHeight="true" outlineLevel="0" collapsed="false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customFormat="false" ht="15.75" hidden="false" customHeight="true" outlineLevel="0" collapsed="false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customFormat="false" ht="15.75" hidden="false" customHeight="true" outlineLevel="0" collapsed="false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customFormat="false" ht="15.75" hidden="false" customHeight="true" outlineLevel="0" collapsed="false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customFormat="false" ht="15.75" hidden="false" customHeight="true" outlineLevel="0" collapsed="false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customFormat="false" ht="15.75" hidden="false" customHeight="true" outlineLevel="0" collapsed="false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customFormat="false" ht="15.75" hidden="false" customHeight="true" outlineLevel="0" collapsed="false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customFormat="false" ht="15.75" hidden="false" customHeight="true" outlineLevel="0" collapsed="false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customFormat="false" ht="15.75" hidden="false" customHeight="true" outlineLevel="0" collapsed="false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customFormat="false" ht="15.75" hidden="false" customHeight="true" outlineLevel="0" collapsed="false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customFormat="false" ht="15.75" hidden="false" customHeight="true" outlineLevel="0" collapsed="false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customFormat="false" ht="15.75" hidden="false" customHeight="true" outlineLevel="0" collapsed="false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customFormat="false" ht="15.75" hidden="false" customHeight="true" outlineLevel="0" collapsed="false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customFormat="false" ht="15.75" hidden="false" customHeight="true" outlineLevel="0" collapsed="false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customFormat="false" ht="15.75" hidden="false" customHeight="true" outlineLevel="0" collapsed="false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customFormat="false" ht="15.75" hidden="false" customHeight="true" outlineLevel="0" collapsed="false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customFormat="false" ht="15.75" hidden="false" customHeight="true" outlineLevel="0" collapsed="false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customFormat="false" ht="15.75" hidden="false" customHeight="true" outlineLevel="0" collapsed="false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customFormat="false" ht="15.75" hidden="false" customHeight="true" outlineLevel="0" collapsed="false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customFormat="false" ht="15.75" hidden="false" customHeight="true" outlineLevel="0" collapsed="false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customFormat="false" ht="15.75" hidden="false" customHeight="true" outlineLevel="0" collapsed="false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customFormat="false" ht="15.75" hidden="false" customHeight="true" outlineLevel="0" collapsed="false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customFormat="false" ht="15.75" hidden="false" customHeight="true" outlineLevel="0" collapsed="false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customFormat="false" ht="15.75" hidden="false" customHeight="true" outlineLevel="0" collapsed="false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customFormat="false" ht="15.75" hidden="false" customHeight="true" outlineLevel="0" collapsed="false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customFormat="false" ht="15.75" hidden="false" customHeight="true" outlineLevel="0" collapsed="false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customFormat="false" ht="15.75" hidden="false" customHeight="true" outlineLevel="0" collapsed="false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customFormat="false" ht="15.75" hidden="false" customHeight="true" outlineLevel="0" collapsed="false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customFormat="false" ht="15.75" hidden="false" customHeight="true" outlineLevel="0" collapsed="false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customFormat="false" ht="15.75" hidden="false" customHeight="true" outlineLevel="0" collapsed="false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customFormat="false" ht="15.75" hidden="false" customHeight="true" outlineLevel="0" collapsed="false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customFormat="false" ht="15.75" hidden="false" customHeight="true" outlineLevel="0" collapsed="false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customFormat="false" ht="15.75" hidden="false" customHeight="true" outlineLevel="0" collapsed="false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customFormat="false" ht="15.75" hidden="false" customHeight="true" outlineLevel="0" collapsed="false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customFormat="false" ht="15.75" hidden="false" customHeight="true" outlineLevel="0" collapsed="false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customFormat="false" ht="15.75" hidden="false" customHeight="true" outlineLevel="0" collapsed="false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customFormat="false" ht="15.75" hidden="false" customHeight="true" outlineLevel="0" collapsed="false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customFormat="false" ht="15.75" hidden="false" customHeight="true" outlineLevel="0" collapsed="false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customFormat="false" ht="15.75" hidden="false" customHeight="true" outlineLevel="0" collapsed="false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customFormat="false" ht="15.75" hidden="false" customHeight="true" outlineLevel="0" collapsed="false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customFormat="false" ht="15.75" hidden="false" customHeight="true" outlineLevel="0" collapsed="false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customFormat="false" ht="15.75" hidden="false" customHeight="true" outlineLevel="0" collapsed="false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customFormat="false" ht="15.75" hidden="false" customHeight="true" outlineLevel="0" collapsed="false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customFormat="false" ht="15.75" hidden="false" customHeight="true" outlineLevel="0" collapsed="false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customFormat="false" ht="15.75" hidden="false" customHeight="true" outlineLevel="0" collapsed="false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customFormat="false" ht="15.75" hidden="false" customHeight="true" outlineLevel="0" collapsed="false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customFormat="false" ht="15.75" hidden="false" customHeight="true" outlineLevel="0" collapsed="false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customFormat="false" ht="15.75" hidden="false" customHeight="true" outlineLevel="0" collapsed="false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customFormat="false" ht="15.75" hidden="false" customHeight="true" outlineLevel="0" collapsed="false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customFormat="false" ht="15.75" hidden="false" customHeight="true" outlineLevel="0" collapsed="false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customFormat="false" ht="15.75" hidden="false" customHeight="true" outlineLevel="0" collapsed="false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customFormat="false" ht="15.75" hidden="false" customHeight="true" outlineLevel="0" collapsed="false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customFormat="false" ht="15.75" hidden="false" customHeight="true" outlineLevel="0" collapsed="false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customFormat="false" ht="15.75" hidden="false" customHeight="true" outlineLevel="0" collapsed="false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customFormat="false" ht="15.75" hidden="false" customHeight="true" outlineLevel="0" collapsed="false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customFormat="false" ht="15.75" hidden="false" customHeight="true" outlineLevel="0" collapsed="false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customFormat="false" ht="15.75" hidden="false" customHeight="true" outlineLevel="0" collapsed="false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customFormat="false" ht="15.75" hidden="false" customHeight="true" outlineLevel="0" collapsed="false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customFormat="false" ht="15.75" hidden="false" customHeight="true" outlineLevel="0" collapsed="false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customFormat="false" ht="15.75" hidden="false" customHeight="true" outlineLevel="0" collapsed="false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customFormat="false" ht="15.75" hidden="false" customHeight="true" outlineLevel="0" collapsed="false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customFormat="false" ht="15.75" hidden="false" customHeight="true" outlineLevel="0" collapsed="false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customFormat="false" ht="15.75" hidden="false" customHeight="true" outlineLevel="0" collapsed="false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customFormat="false" ht="15.75" hidden="false" customHeight="true" outlineLevel="0" collapsed="false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customFormat="false" ht="15.75" hidden="false" customHeight="true" outlineLevel="0" collapsed="false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customFormat="false" ht="15.75" hidden="false" customHeight="true" outlineLevel="0" collapsed="false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customFormat="false" ht="15.75" hidden="false" customHeight="true" outlineLevel="0" collapsed="false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customFormat="false" ht="15.75" hidden="false" customHeight="true" outlineLevel="0" collapsed="false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customFormat="false" ht="15.75" hidden="false" customHeight="true" outlineLevel="0" collapsed="false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customFormat="false" ht="15.75" hidden="false" customHeight="true" outlineLevel="0" collapsed="false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customFormat="false" ht="15.75" hidden="false" customHeight="true" outlineLevel="0" collapsed="false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customFormat="false" ht="15.75" hidden="false" customHeight="true" outlineLevel="0" collapsed="false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customFormat="false" ht="15.75" hidden="false" customHeight="true" outlineLevel="0" collapsed="false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customFormat="false" ht="15.75" hidden="false" customHeight="true" outlineLevel="0" collapsed="false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customFormat="false" ht="15.75" hidden="false" customHeight="true" outlineLevel="0" collapsed="false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customFormat="false" ht="15.75" hidden="false" customHeight="true" outlineLevel="0" collapsed="false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customFormat="false" ht="15.75" hidden="false" customHeight="true" outlineLevel="0" collapsed="false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customFormat="false" ht="15.75" hidden="false" customHeight="true" outlineLevel="0" collapsed="false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customFormat="false" ht="15.75" hidden="false" customHeight="true" outlineLevel="0" collapsed="false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customFormat="false" ht="15.75" hidden="false" customHeight="true" outlineLevel="0" collapsed="false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customFormat="false" ht="15.75" hidden="false" customHeight="true" outlineLevel="0" collapsed="false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customFormat="false" ht="15.75" hidden="false" customHeight="true" outlineLevel="0" collapsed="false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customFormat="false" ht="15.75" hidden="false" customHeight="true" outlineLevel="0" collapsed="false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customFormat="false" ht="15.75" hidden="false" customHeight="true" outlineLevel="0" collapsed="false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customFormat="false" ht="15.75" hidden="false" customHeight="true" outlineLevel="0" collapsed="false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customFormat="false" ht="15.75" hidden="false" customHeight="true" outlineLevel="0" collapsed="false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customFormat="false" ht="15.75" hidden="false" customHeight="true" outlineLevel="0" collapsed="false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customFormat="false" ht="15.75" hidden="false" customHeight="true" outlineLevel="0" collapsed="false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customFormat="false" ht="15.75" hidden="false" customHeight="true" outlineLevel="0" collapsed="false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customFormat="false" ht="15.75" hidden="false" customHeight="true" outlineLevel="0" collapsed="false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customFormat="false" ht="15.75" hidden="false" customHeight="true" outlineLevel="0" collapsed="false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customFormat="false" ht="15.75" hidden="false" customHeight="true" outlineLevel="0" collapsed="false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customFormat="false" ht="15.75" hidden="false" customHeight="true" outlineLevel="0" collapsed="false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customFormat="false" ht="15.75" hidden="false" customHeight="true" outlineLevel="0" collapsed="false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customFormat="false" ht="15.75" hidden="false" customHeight="true" outlineLevel="0" collapsed="false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customFormat="false" ht="15.75" hidden="false" customHeight="true" outlineLevel="0" collapsed="false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customFormat="false" ht="15.75" hidden="false" customHeight="true" outlineLevel="0" collapsed="false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customFormat="false" ht="15.75" hidden="false" customHeight="true" outlineLevel="0" collapsed="false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customFormat="false" ht="15.75" hidden="false" customHeight="true" outlineLevel="0" collapsed="false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customFormat="false" ht="15.75" hidden="false" customHeight="true" outlineLevel="0" collapsed="false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customFormat="false" ht="15.75" hidden="false" customHeight="true" outlineLevel="0" collapsed="false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customFormat="false" ht="15.75" hidden="false" customHeight="true" outlineLevel="0" collapsed="false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customFormat="false" ht="15.75" hidden="false" customHeight="true" outlineLevel="0" collapsed="false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customFormat="false" ht="15.75" hidden="false" customHeight="true" outlineLevel="0" collapsed="false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customFormat="false" ht="15.75" hidden="false" customHeight="true" outlineLevel="0" collapsed="false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customFormat="false" ht="15.75" hidden="false" customHeight="true" outlineLevel="0" collapsed="false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customFormat="false" ht="15.75" hidden="false" customHeight="true" outlineLevel="0" collapsed="false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customFormat="false" ht="15.75" hidden="false" customHeight="true" outlineLevel="0" collapsed="false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customFormat="false" ht="15.75" hidden="false" customHeight="true" outlineLevel="0" collapsed="false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customFormat="false" ht="15.75" hidden="false" customHeight="true" outlineLevel="0" collapsed="false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customFormat="false" ht="15.75" hidden="false" customHeight="true" outlineLevel="0" collapsed="false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customFormat="false" ht="15.75" hidden="false" customHeight="true" outlineLevel="0" collapsed="false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customFormat="false" ht="15.75" hidden="false" customHeight="true" outlineLevel="0" collapsed="false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customFormat="false" ht="15.75" hidden="false" customHeight="true" outlineLevel="0" collapsed="false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customFormat="false" ht="15.75" hidden="false" customHeight="true" outlineLevel="0" collapsed="false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customFormat="false" ht="15.75" hidden="false" customHeight="true" outlineLevel="0" collapsed="false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customFormat="false" ht="15.75" hidden="false" customHeight="true" outlineLevel="0" collapsed="false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customFormat="false" ht="15.75" hidden="false" customHeight="true" outlineLevel="0" collapsed="false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customFormat="false" ht="15.75" hidden="false" customHeight="true" outlineLevel="0" collapsed="false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customFormat="false" ht="15.75" hidden="false" customHeight="true" outlineLevel="0" collapsed="false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customFormat="false" ht="15.75" hidden="false" customHeight="true" outlineLevel="0" collapsed="false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customFormat="false" ht="15.75" hidden="false" customHeight="true" outlineLevel="0" collapsed="false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customFormat="false" ht="15.75" hidden="false" customHeight="true" outlineLevel="0" collapsed="false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customFormat="false" ht="15.75" hidden="false" customHeight="true" outlineLevel="0" collapsed="false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customFormat="false" ht="15.75" hidden="false" customHeight="true" outlineLevel="0" collapsed="false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customFormat="false" ht="15.75" hidden="false" customHeight="true" outlineLevel="0" collapsed="false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customFormat="false" ht="15.75" hidden="false" customHeight="true" outlineLevel="0" collapsed="false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customFormat="false" ht="15.75" hidden="false" customHeight="true" outlineLevel="0" collapsed="false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customFormat="false" ht="15.75" hidden="false" customHeight="true" outlineLevel="0" collapsed="false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customFormat="false" ht="15.75" hidden="false" customHeight="true" outlineLevel="0" collapsed="false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customFormat="false" ht="15.75" hidden="false" customHeight="true" outlineLevel="0" collapsed="false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customFormat="false" ht="15.75" hidden="false" customHeight="true" outlineLevel="0" collapsed="false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customFormat="false" ht="15.75" hidden="false" customHeight="true" outlineLevel="0" collapsed="false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customFormat="false" ht="15.75" hidden="false" customHeight="true" outlineLevel="0" collapsed="false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customFormat="false" ht="15.75" hidden="false" customHeight="true" outlineLevel="0" collapsed="false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customFormat="false" ht="15.75" hidden="false" customHeight="true" outlineLevel="0" collapsed="false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customFormat="false" ht="15.75" hidden="false" customHeight="true" outlineLevel="0" collapsed="false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customFormat="false" ht="15.75" hidden="false" customHeight="true" outlineLevel="0" collapsed="false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customFormat="false" ht="15.75" hidden="false" customHeight="true" outlineLevel="0" collapsed="false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customFormat="false" ht="15.75" hidden="false" customHeight="true" outlineLevel="0" collapsed="false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customFormat="false" ht="15.75" hidden="false" customHeight="true" outlineLevel="0" collapsed="false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customFormat="false" ht="15.75" hidden="false" customHeight="true" outlineLevel="0" collapsed="false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customFormat="false" ht="15.75" hidden="false" customHeight="true" outlineLevel="0" collapsed="false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customFormat="false" ht="15.75" hidden="false" customHeight="true" outlineLevel="0" collapsed="false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customFormat="false" ht="15.75" hidden="false" customHeight="true" outlineLevel="0" collapsed="false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customFormat="false" ht="15.75" hidden="false" customHeight="true" outlineLevel="0" collapsed="false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customFormat="false" ht="15.75" hidden="false" customHeight="true" outlineLevel="0" collapsed="false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customFormat="false" ht="15.75" hidden="false" customHeight="true" outlineLevel="0" collapsed="false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customFormat="false" ht="15.75" hidden="false" customHeight="true" outlineLevel="0" collapsed="false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customFormat="false" ht="15.75" hidden="false" customHeight="true" outlineLevel="0" collapsed="false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customFormat="false" ht="15.75" hidden="false" customHeight="true" outlineLevel="0" collapsed="false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customFormat="false" ht="15.75" hidden="false" customHeight="true" outlineLevel="0" collapsed="false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customFormat="false" ht="15.75" hidden="false" customHeight="true" outlineLevel="0" collapsed="false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customFormat="false" ht="15.75" hidden="false" customHeight="true" outlineLevel="0" collapsed="false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customFormat="false" ht="15.75" hidden="false" customHeight="true" outlineLevel="0" collapsed="false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customFormat="false" ht="15.75" hidden="false" customHeight="true" outlineLevel="0" collapsed="false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customFormat="false" ht="15.75" hidden="false" customHeight="true" outlineLevel="0" collapsed="false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customFormat="false" ht="15.75" hidden="false" customHeight="true" outlineLevel="0" collapsed="false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customFormat="false" ht="15.75" hidden="false" customHeight="true" outlineLevel="0" collapsed="false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customFormat="false" ht="15.75" hidden="false" customHeight="true" outlineLevel="0" collapsed="false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customFormat="false" ht="15.75" hidden="false" customHeight="true" outlineLevel="0" collapsed="false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customFormat="false" ht="15.75" hidden="false" customHeight="true" outlineLevel="0" collapsed="false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customFormat="false" ht="15.75" hidden="false" customHeight="true" outlineLevel="0" collapsed="false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customFormat="false" ht="15.75" hidden="false" customHeight="true" outlineLevel="0" collapsed="false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customFormat="false" ht="15.75" hidden="false" customHeight="true" outlineLevel="0" collapsed="false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customFormat="false" ht="15.75" hidden="false" customHeight="true" outlineLevel="0" collapsed="false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customFormat="false" ht="15.75" hidden="false" customHeight="true" outlineLevel="0" collapsed="false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customFormat="false" ht="15.75" hidden="false" customHeight="true" outlineLevel="0" collapsed="false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customFormat="false" ht="15.75" hidden="false" customHeight="true" outlineLevel="0" collapsed="false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customFormat="false" ht="15.75" hidden="false" customHeight="true" outlineLevel="0" collapsed="false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customFormat="false" ht="15.75" hidden="false" customHeight="true" outlineLevel="0" collapsed="false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customFormat="false" ht="15.75" hidden="false" customHeight="true" outlineLevel="0" collapsed="false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customFormat="false" ht="15.75" hidden="false" customHeight="true" outlineLevel="0" collapsed="false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customFormat="false" ht="15.75" hidden="false" customHeight="true" outlineLevel="0" collapsed="false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customFormat="false" ht="15.75" hidden="false" customHeight="true" outlineLevel="0" collapsed="false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customFormat="false" ht="15.75" hidden="false" customHeight="true" outlineLevel="0" collapsed="false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customFormat="false" ht="15.75" hidden="false" customHeight="true" outlineLevel="0" collapsed="false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customFormat="false" ht="15.75" hidden="false" customHeight="true" outlineLevel="0" collapsed="false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customFormat="false" ht="15.75" hidden="false" customHeight="true" outlineLevel="0" collapsed="false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customFormat="false" ht="15.75" hidden="false" customHeight="true" outlineLevel="0" collapsed="false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customFormat="false" ht="15.75" hidden="false" customHeight="true" outlineLevel="0" collapsed="false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customFormat="false" ht="15.75" hidden="false" customHeight="true" outlineLevel="0" collapsed="false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customFormat="false" ht="15.75" hidden="false" customHeight="true" outlineLevel="0" collapsed="false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customFormat="false" ht="15.75" hidden="false" customHeight="true" outlineLevel="0" collapsed="false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customFormat="false" ht="15.75" hidden="false" customHeight="true" outlineLevel="0" collapsed="false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customFormat="false" ht="15.75" hidden="false" customHeight="true" outlineLevel="0" collapsed="false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customFormat="false" ht="15.75" hidden="false" customHeight="true" outlineLevel="0" collapsed="false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customFormat="false" ht="15.75" hidden="false" customHeight="true" outlineLevel="0" collapsed="false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customFormat="false" ht="15.75" hidden="false" customHeight="true" outlineLevel="0" collapsed="false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customFormat="false" ht="15.75" hidden="false" customHeight="true" outlineLevel="0" collapsed="false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customFormat="false" ht="15.75" hidden="false" customHeight="true" outlineLevel="0" collapsed="false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customFormat="false" ht="15.75" hidden="false" customHeight="true" outlineLevel="0" collapsed="false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customFormat="false" ht="15.75" hidden="false" customHeight="true" outlineLevel="0" collapsed="false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customFormat="false" ht="15.75" hidden="false" customHeight="true" outlineLevel="0" collapsed="false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customFormat="false" ht="15.75" hidden="false" customHeight="true" outlineLevel="0" collapsed="false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customFormat="false" ht="15.75" hidden="false" customHeight="true" outlineLevel="0" collapsed="false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customFormat="false" ht="15.75" hidden="false" customHeight="true" outlineLevel="0" collapsed="false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customFormat="false" ht="15.75" hidden="false" customHeight="true" outlineLevel="0" collapsed="false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customFormat="false" ht="15.75" hidden="false" customHeight="true" outlineLevel="0" collapsed="false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customFormat="false" ht="15.75" hidden="false" customHeight="true" outlineLevel="0" collapsed="false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customFormat="false" ht="15.75" hidden="false" customHeight="true" outlineLevel="0" collapsed="false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customFormat="false" ht="15.75" hidden="false" customHeight="true" outlineLevel="0" collapsed="false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customFormat="false" ht="15.75" hidden="false" customHeight="true" outlineLevel="0" collapsed="false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customFormat="false" ht="15.75" hidden="false" customHeight="true" outlineLevel="0" collapsed="false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customFormat="false" ht="15.75" hidden="false" customHeight="true" outlineLevel="0" collapsed="false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customFormat="false" ht="15.75" hidden="false" customHeight="true" outlineLevel="0" collapsed="false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customFormat="false" ht="15.75" hidden="false" customHeight="true" outlineLevel="0" collapsed="false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customFormat="false" ht="15.75" hidden="false" customHeight="true" outlineLevel="0" collapsed="false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customFormat="false" ht="15.75" hidden="false" customHeight="true" outlineLevel="0" collapsed="false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customFormat="false" ht="15.75" hidden="false" customHeight="true" outlineLevel="0" collapsed="false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customFormat="false" ht="15.75" hidden="false" customHeight="true" outlineLevel="0" collapsed="false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customFormat="false" ht="15.75" hidden="false" customHeight="true" outlineLevel="0" collapsed="false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customFormat="false" ht="15.75" hidden="false" customHeight="true" outlineLevel="0" collapsed="false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customFormat="false" ht="15.75" hidden="false" customHeight="true" outlineLevel="0" collapsed="false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customFormat="false" ht="15.75" hidden="false" customHeight="true" outlineLevel="0" collapsed="false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customFormat="false" ht="15.75" hidden="false" customHeight="true" outlineLevel="0" collapsed="false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customFormat="false" ht="15.75" hidden="false" customHeight="true" outlineLevel="0" collapsed="false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customFormat="false" ht="15.75" hidden="false" customHeight="true" outlineLevel="0" collapsed="false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customFormat="false" ht="15.75" hidden="false" customHeight="true" outlineLevel="0" collapsed="false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customFormat="false" ht="15.75" hidden="false" customHeight="true" outlineLevel="0" collapsed="false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customFormat="false" ht="15.75" hidden="false" customHeight="true" outlineLevel="0" collapsed="false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customFormat="false" ht="15.75" hidden="false" customHeight="true" outlineLevel="0" collapsed="false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customFormat="false" ht="15.75" hidden="false" customHeight="true" outlineLevel="0" collapsed="false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customFormat="false" ht="15.75" hidden="false" customHeight="true" outlineLevel="0" collapsed="false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customFormat="false" ht="15.75" hidden="false" customHeight="true" outlineLevel="0" collapsed="false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customFormat="false" ht="15.75" hidden="false" customHeight="true" outlineLevel="0" collapsed="false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customFormat="false" ht="15.75" hidden="false" customHeight="true" outlineLevel="0" collapsed="false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customFormat="false" ht="15.75" hidden="false" customHeight="true" outlineLevel="0" collapsed="false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customFormat="false" ht="15.75" hidden="false" customHeight="true" outlineLevel="0" collapsed="false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customFormat="false" ht="15.75" hidden="false" customHeight="true" outlineLevel="0" collapsed="false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customFormat="false" ht="15.75" hidden="false" customHeight="true" outlineLevel="0" collapsed="false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customFormat="false" ht="15.75" hidden="false" customHeight="true" outlineLevel="0" collapsed="false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customFormat="false" ht="15.75" hidden="false" customHeight="true" outlineLevel="0" collapsed="false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customFormat="false" ht="15.75" hidden="false" customHeight="true" outlineLevel="0" collapsed="false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customFormat="false" ht="15.75" hidden="false" customHeight="true" outlineLevel="0" collapsed="false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customFormat="false" ht="15.75" hidden="false" customHeight="true" outlineLevel="0" collapsed="false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customFormat="false" ht="15.75" hidden="false" customHeight="true" outlineLevel="0" collapsed="false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customFormat="false" ht="15.75" hidden="false" customHeight="true" outlineLevel="0" collapsed="false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customFormat="false" ht="15.75" hidden="false" customHeight="true" outlineLevel="0" collapsed="false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customFormat="false" ht="15.75" hidden="false" customHeight="true" outlineLevel="0" collapsed="false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customFormat="false" ht="15.75" hidden="false" customHeight="true" outlineLevel="0" collapsed="false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customFormat="false" ht="15.75" hidden="false" customHeight="true" outlineLevel="0" collapsed="false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customFormat="false" ht="15.75" hidden="false" customHeight="true" outlineLevel="0" collapsed="false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customFormat="false" ht="15.75" hidden="false" customHeight="true" outlineLevel="0" collapsed="false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customFormat="false" ht="15.75" hidden="false" customHeight="true" outlineLevel="0" collapsed="false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customFormat="false" ht="15.75" hidden="false" customHeight="true" outlineLevel="0" collapsed="false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customFormat="false" ht="15.75" hidden="false" customHeight="true" outlineLevel="0" collapsed="false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customFormat="false" ht="15.75" hidden="false" customHeight="true" outlineLevel="0" collapsed="false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customFormat="false" ht="15.75" hidden="false" customHeight="true" outlineLevel="0" collapsed="false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customFormat="false" ht="15.75" hidden="false" customHeight="true" outlineLevel="0" collapsed="false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customFormat="false" ht="15.75" hidden="false" customHeight="true" outlineLevel="0" collapsed="false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customFormat="false" ht="15.75" hidden="false" customHeight="true" outlineLevel="0" collapsed="false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customFormat="false" ht="15.75" hidden="false" customHeight="true" outlineLevel="0" collapsed="false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customFormat="false" ht="15.75" hidden="false" customHeight="true" outlineLevel="0" collapsed="false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customFormat="false" ht="15.75" hidden="false" customHeight="true" outlineLevel="0" collapsed="false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customFormat="false" ht="15.75" hidden="false" customHeight="true" outlineLevel="0" collapsed="false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customFormat="false" ht="15.75" hidden="false" customHeight="true" outlineLevel="0" collapsed="false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customFormat="false" ht="15.75" hidden="false" customHeight="true" outlineLevel="0" collapsed="false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customFormat="false" ht="15.75" hidden="false" customHeight="true" outlineLevel="0" collapsed="false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customFormat="false" ht="15.75" hidden="false" customHeight="true" outlineLevel="0" collapsed="false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customFormat="false" ht="15.75" hidden="false" customHeight="true" outlineLevel="0" collapsed="false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customFormat="false" ht="15.75" hidden="false" customHeight="true" outlineLevel="0" collapsed="false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customFormat="false" ht="15.75" hidden="false" customHeight="true" outlineLevel="0" collapsed="false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customFormat="false" ht="15.75" hidden="false" customHeight="true" outlineLevel="0" collapsed="false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customFormat="false" ht="15.75" hidden="false" customHeight="true" outlineLevel="0" collapsed="false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customFormat="false" ht="15.75" hidden="false" customHeight="true" outlineLevel="0" collapsed="false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customFormat="false" ht="15.75" hidden="false" customHeight="true" outlineLevel="0" collapsed="false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customFormat="false" ht="15.75" hidden="false" customHeight="true" outlineLevel="0" collapsed="false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customFormat="false" ht="15.75" hidden="false" customHeight="true" outlineLevel="0" collapsed="false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customFormat="false" ht="15.75" hidden="false" customHeight="true" outlineLevel="0" collapsed="false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customFormat="false" ht="15.75" hidden="false" customHeight="true" outlineLevel="0" collapsed="false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customFormat="false" ht="15.75" hidden="false" customHeight="true" outlineLevel="0" collapsed="false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customFormat="false" ht="15.75" hidden="false" customHeight="true" outlineLevel="0" collapsed="false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customFormat="false" ht="15.75" hidden="false" customHeight="true" outlineLevel="0" collapsed="false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customFormat="false" ht="15.75" hidden="false" customHeight="true" outlineLevel="0" collapsed="false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customFormat="false" ht="15.75" hidden="false" customHeight="true" outlineLevel="0" collapsed="false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customFormat="false" ht="15.75" hidden="false" customHeight="true" outlineLevel="0" collapsed="false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customFormat="false" ht="15.75" hidden="false" customHeight="true" outlineLevel="0" collapsed="false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customFormat="false" ht="15.75" hidden="false" customHeight="true" outlineLevel="0" collapsed="false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customFormat="false" ht="15.75" hidden="false" customHeight="true" outlineLevel="0" collapsed="false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customFormat="false" ht="15.75" hidden="false" customHeight="true" outlineLevel="0" collapsed="false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customFormat="false" ht="15.75" hidden="false" customHeight="true" outlineLevel="0" collapsed="false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customFormat="false" ht="15.75" hidden="false" customHeight="true" outlineLevel="0" collapsed="false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customFormat="false" ht="15.75" hidden="false" customHeight="true" outlineLevel="0" collapsed="false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customFormat="false" ht="15.75" hidden="false" customHeight="true" outlineLevel="0" collapsed="false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customFormat="false" ht="15.75" hidden="false" customHeight="true" outlineLevel="0" collapsed="false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customFormat="false" ht="15.75" hidden="false" customHeight="true" outlineLevel="0" collapsed="false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customFormat="false" ht="15.75" hidden="false" customHeight="true" outlineLevel="0" collapsed="false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customFormat="false" ht="15.75" hidden="false" customHeight="true" outlineLevel="0" collapsed="false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customFormat="false" ht="15.75" hidden="false" customHeight="true" outlineLevel="0" collapsed="false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customFormat="false" ht="15.75" hidden="false" customHeight="true" outlineLevel="0" collapsed="false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customFormat="false" ht="15.75" hidden="false" customHeight="true" outlineLevel="0" collapsed="false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customFormat="false" ht="15.75" hidden="false" customHeight="true" outlineLevel="0" collapsed="false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customFormat="false" ht="15.75" hidden="false" customHeight="true" outlineLevel="0" collapsed="false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customFormat="false" ht="15.75" hidden="false" customHeight="true" outlineLevel="0" collapsed="false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customFormat="false" ht="15.75" hidden="false" customHeight="true" outlineLevel="0" collapsed="false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customFormat="false" ht="15.75" hidden="false" customHeight="true" outlineLevel="0" collapsed="false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customFormat="false" ht="15.75" hidden="false" customHeight="true" outlineLevel="0" collapsed="false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customFormat="false" ht="15.75" hidden="false" customHeight="true" outlineLevel="0" collapsed="false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customFormat="false" ht="15.75" hidden="false" customHeight="true" outlineLevel="0" collapsed="false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customFormat="false" ht="15.75" hidden="false" customHeight="true" outlineLevel="0" collapsed="false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customFormat="false" ht="15.75" hidden="false" customHeight="true" outlineLevel="0" collapsed="false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customFormat="false" ht="15.75" hidden="false" customHeight="true" outlineLevel="0" collapsed="false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customFormat="false" ht="15.75" hidden="false" customHeight="true" outlineLevel="0" collapsed="false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customFormat="false" ht="15.75" hidden="false" customHeight="true" outlineLevel="0" collapsed="false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customFormat="false" ht="15.75" hidden="false" customHeight="true" outlineLevel="0" collapsed="false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customFormat="false" ht="15.75" hidden="false" customHeight="true" outlineLevel="0" collapsed="false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customFormat="false" ht="15.75" hidden="false" customHeight="true" outlineLevel="0" collapsed="false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customFormat="false" ht="15.75" hidden="false" customHeight="true" outlineLevel="0" collapsed="false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customFormat="false" ht="15.75" hidden="false" customHeight="true" outlineLevel="0" collapsed="false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customFormat="false" ht="15.75" hidden="false" customHeight="true" outlineLevel="0" collapsed="false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customFormat="false" ht="15.75" hidden="false" customHeight="true" outlineLevel="0" collapsed="false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customFormat="false" ht="15.75" hidden="false" customHeight="true" outlineLevel="0" collapsed="false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customFormat="false" ht="15.75" hidden="false" customHeight="true" outlineLevel="0" collapsed="false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customFormat="false" ht="15.75" hidden="false" customHeight="true" outlineLevel="0" collapsed="false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customFormat="false" ht="15.75" hidden="false" customHeight="true" outlineLevel="0" collapsed="false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customFormat="false" ht="15.75" hidden="false" customHeight="true" outlineLevel="0" collapsed="false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customFormat="false" ht="15.75" hidden="false" customHeight="true" outlineLevel="0" collapsed="false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customFormat="false" ht="15.75" hidden="false" customHeight="true" outlineLevel="0" collapsed="false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customFormat="false" ht="15.75" hidden="false" customHeight="true" outlineLevel="0" collapsed="false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customFormat="false" ht="15.75" hidden="false" customHeight="true" outlineLevel="0" collapsed="false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customFormat="false" ht="15.75" hidden="false" customHeight="true" outlineLevel="0" collapsed="false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customFormat="false" ht="15.75" hidden="false" customHeight="true" outlineLevel="0" collapsed="false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customFormat="false" ht="15.75" hidden="false" customHeight="true" outlineLevel="0" collapsed="false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customFormat="false" ht="15.75" hidden="false" customHeight="true" outlineLevel="0" collapsed="false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customFormat="false" ht="15.75" hidden="false" customHeight="true" outlineLevel="0" collapsed="false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customFormat="false" ht="15.75" hidden="false" customHeight="true" outlineLevel="0" collapsed="false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customFormat="false" ht="15.75" hidden="false" customHeight="true" outlineLevel="0" collapsed="false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customFormat="false" ht="15.75" hidden="false" customHeight="true" outlineLevel="0" collapsed="false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customFormat="false" ht="15.75" hidden="false" customHeight="true" outlineLevel="0" collapsed="false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customFormat="false" ht="15.75" hidden="false" customHeight="true" outlineLevel="0" collapsed="false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customFormat="false" ht="15.75" hidden="false" customHeight="true" outlineLevel="0" collapsed="false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customFormat="false" ht="15.75" hidden="false" customHeight="true" outlineLevel="0" collapsed="false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customFormat="false" ht="15.75" hidden="false" customHeight="true" outlineLevel="0" collapsed="false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customFormat="false" ht="15.75" hidden="false" customHeight="true" outlineLevel="0" collapsed="false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customFormat="false" ht="15.75" hidden="false" customHeight="true" outlineLevel="0" collapsed="false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customFormat="false" ht="15.75" hidden="false" customHeight="true" outlineLevel="0" collapsed="false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customFormat="false" ht="15.75" hidden="false" customHeight="true" outlineLevel="0" collapsed="false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customFormat="false" ht="15.75" hidden="false" customHeight="true" outlineLevel="0" collapsed="false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customFormat="false" ht="15.75" hidden="false" customHeight="true" outlineLevel="0" collapsed="false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customFormat="false" ht="15.75" hidden="false" customHeight="true" outlineLevel="0" collapsed="false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customFormat="false" ht="15.75" hidden="false" customHeight="true" outlineLevel="0" collapsed="false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customFormat="false" ht="15.75" hidden="false" customHeight="true" outlineLevel="0" collapsed="false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customFormat="false" ht="15.75" hidden="false" customHeight="true" outlineLevel="0" collapsed="false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customFormat="false" ht="15.75" hidden="false" customHeight="true" outlineLevel="0" collapsed="false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customFormat="false" ht="15.75" hidden="false" customHeight="true" outlineLevel="0" collapsed="false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customFormat="false" ht="15.75" hidden="false" customHeight="true" outlineLevel="0" collapsed="false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customFormat="false" ht="15.75" hidden="false" customHeight="true" outlineLevel="0" collapsed="false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customFormat="false" ht="15.75" hidden="false" customHeight="true" outlineLevel="0" collapsed="false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customFormat="false" ht="15.75" hidden="false" customHeight="true" outlineLevel="0" collapsed="false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customFormat="false" ht="15.75" hidden="false" customHeight="true" outlineLevel="0" collapsed="false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customFormat="false" ht="15.75" hidden="false" customHeight="true" outlineLevel="0" collapsed="false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customFormat="false" ht="15.75" hidden="false" customHeight="true" outlineLevel="0" collapsed="false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customFormat="false" ht="15.75" hidden="false" customHeight="true" outlineLevel="0" collapsed="false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customFormat="false" ht="15.75" hidden="false" customHeight="true" outlineLevel="0" collapsed="false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customFormat="false" ht="15.75" hidden="false" customHeight="true" outlineLevel="0" collapsed="false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customFormat="false" ht="15.75" hidden="false" customHeight="true" outlineLevel="0" collapsed="false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customFormat="false" ht="15.75" hidden="false" customHeight="true" outlineLevel="0" collapsed="false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customFormat="false" ht="15.75" hidden="false" customHeight="true" outlineLevel="0" collapsed="false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customFormat="false" ht="15.75" hidden="false" customHeight="true" outlineLevel="0" collapsed="false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customFormat="false" ht="15.75" hidden="false" customHeight="true" outlineLevel="0" collapsed="false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customFormat="false" ht="15.75" hidden="false" customHeight="true" outlineLevel="0" collapsed="false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customFormat="false" ht="15.75" hidden="false" customHeight="true" outlineLevel="0" collapsed="false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customFormat="false" ht="15.75" hidden="false" customHeight="true" outlineLevel="0" collapsed="false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customFormat="false" ht="15.75" hidden="false" customHeight="true" outlineLevel="0" collapsed="false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customFormat="false" ht="15.75" hidden="false" customHeight="true" outlineLevel="0" collapsed="false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customFormat="false" ht="15.75" hidden="false" customHeight="true" outlineLevel="0" collapsed="false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customFormat="false" ht="15.75" hidden="false" customHeight="true" outlineLevel="0" collapsed="false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customFormat="false" ht="15.75" hidden="false" customHeight="true" outlineLevel="0" collapsed="false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customFormat="false" ht="15.75" hidden="false" customHeight="true" outlineLevel="0" collapsed="false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customFormat="false" ht="15.75" hidden="false" customHeight="true" outlineLevel="0" collapsed="false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customFormat="false" ht="15.75" hidden="false" customHeight="true" outlineLevel="0" collapsed="false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customFormat="false" ht="15.75" hidden="false" customHeight="true" outlineLevel="0" collapsed="false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customFormat="false" ht="15.75" hidden="false" customHeight="true" outlineLevel="0" collapsed="false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customFormat="false" ht="15.75" hidden="false" customHeight="true" outlineLevel="0" collapsed="false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customFormat="false" ht="15.75" hidden="false" customHeight="true" outlineLevel="0" collapsed="false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customFormat="false" ht="15.75" hidden="false" customHeight="true" outlineLevel="0" collapsed="false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customFormat="false" ht="15.75" hidden="false" customHeight="true" outlineLevel="0" collapsed="false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customFormat="false" ht="15.75" hidden="false" customHeight="true" outlineLevel="0" collapsed="false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customFormat="false" ht="15.75" hidden="false" customHeight="true" outlineLevel="0" collapsed="false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customFormat="false" ht="15.75" hidden="false" customHeight="true" outlineLevel="0" collapsed="false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customFormat="false" ht="15.75" hidden="false" customHeight="true" outlineLevel="0" collapsed="false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customFormat="false" ht="15.75" hidden="false" customHeight="true" outlineLevel="0" collapsed="false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customFormat="false" ht="15.75" hidden="false" customHeight="true" outlineLevel="0" collapsed="false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customFormat="false" ht="15.75" hidden="false" customHeight="true" outlineLevel="0" collapsed="false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customFormat="false" ht="15.75" hidden="false" customHeight="true" outlineLevel="0" collapsed="false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customFormat="false" ht="15.75" hidden="false" customHeight="true" outlineLevel="0" collapsed="false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customFormat="false" ht="15.75" hidden="false" customHeight="true" outlineLevel="0" collapsed="false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customFormat="false" ht="15.75" hidden="false" customHeight="true" outlineLevel="0" collapsed="false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customFormat="false" ht="15.75" hidden="false" customHeight="true" outlineLevel="0" collapsed="false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customFormat="false" ht="15.75" hidden="false" customHeight="true" outlineLevel="0" collapsed="false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customFormat="false" ht="15.75" hidden="false" customHeight="true" outlineLevel="0" collapsed="false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customFormat="false" ht="15.75" hidden="false" customHeight="true" outlineLevel="0" collapsed="false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customFormat="false" ht="15.75" hidden="false" customHeight="true" outlineLevel="0" collapsed="false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customFormat="false" ht="15.75" hidden="false" customHeight="true" outlineLevel="0" collapsed="false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customFormat="false" ht="15.75" hidden="false" customHeight="true" outlineLevel="0" collapsed="false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customFormat="false" ht="15.75" hidden="false" customHeight="true" outlineLevel="0" collapsed="false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customFormat="false" ht="15.75" hidden="false" customHeight="true" outlineLevel="0" collapsed="false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customFormat="false" ht="15.75" hidden="false" customHeight="true" outlineLevel="0" collapsed="false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customFormat="false" ht="15.75" hidden="false" customHeight="true" outlineLevel="0" collapsed="false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customFormat="false" ht="15.75" hidden="false" customHeight="true" outlineLevel="0" collapsed="false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customFormat="false" ht="15.75" hidden="false" customHeight="true" outlineLevel="0" collapsed="false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customFormat="false" ht="15.75" hidden="false" customHeight="true" outlineLevel="0" collapsed="false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customFormat="false" ht="15.75" hidden="false" customHeight="true" outlineLevel="0" collapsed="false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customFormat="false" ht="15.75" hidden="false" customHeight="true" outlineLevel="0" collapsed="false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customFormat="false" ht="15.75" hidden="false" customHeight="true" outlineLevel="0" collapsed="false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customFormat="false" ht="15.75" hidden="false" customHeight="true" outlineLevel="0" collapsed="false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customFormat="false" ht="15.75" hidden="false" customHeight="true" outlineLevel="0" collapsed="false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customFormat="false" ht="15.75" hidden="false" customHeight="true" outlineLevel="0" collapsed="false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customFormat="false" ht="15.75" hidden="false" customHeight="true" outlineLevel="0" collapsed="false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customFormat="false" ht="15.75" hidden="false" customHeight="true" outlineLevel="0" collapsed="false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customFormat="false" ht="15.75" hidden="false" customHeight="true" outlineLevel="0" collapsed="false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customFormat="false" ht="15.75" hidden="false" customHeight="true" outlineLevel="0" collapsed="false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customFormat="false" ht="15.75" hidden="false" customHeight="true" outlineLevel="0" collapsed="false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customFormat="false" ht="15.75" hidden="false" customHeight="true" outlineLevel="0" collapsed="false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customFormat="false" ht="15.75" hidden="false" customHeight="true" outlineLevel="0" collapsed="false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customFormat="false" ht="15.75" hidden="false" customHeight="true" outlineLevel="0" collapsed="false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customFormat="false" ht="15.75" hidden="false" customHeight="true" outlineLevel="0" collapsed="false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customFormat="false" ht="15.75" hidden="false" customHeight="true" outlineLevel="0" collapsed="false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customFormat="false" ht="15.75" hidden="false" customHeight="true" outlineLevel="0" collapsed="false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customFormat="false" ht="15.75" hidden="false" customHeight="true" outlineLevel="0" collapsed="false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customFormat="false" ht="15.75" hidden="false" customHeight="true" outlineLevel="0" collapsed="false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customFormat="false" ht="15.75" hidden="false" customHeight="true" outlineLevel="0" collapsed="false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customFormat="false" ht="15.75" hidden="false" customHeight="true" outlineLevel="0" collapsed="false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customFormat="false" ht="15.75" hidden="false" customHeight="true" outlineLevel="0" collapsed="false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customFormat="false" ht="15.75" hidden="false" customHeight="true" outlineLevel="0" collapsed="false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customFormat="false" ht="15.75" hidden="false" customHeight="true" outlineLevel="0" collapsed="false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customFormat="false" ht="15.75" hidden="false" customHeight="true" outlineLevel="0" collapsed="false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customFormat="false" ht="15.75" hidden="false" customHeight="true" outlineLevel="0" collapsed="false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customFormat="false" ht="15.75" hidden="false" customHeight="true" outlineLevel="0" collapsed="false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customFormat="false" ht="15.75" hidden="false" customHeight="true" outlineLevel="0" collapsed="false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customFormat="false" ht="15.75" hidden="false" customHeight="true" outlineLevel="0" collapsed="false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customFormat="false" ht="15.75" hidden="false" customHeight="true" outlineLevel="0" collapsed="false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customFormat="false" ht="15.75" hidden="false" customHeight="true" outlineLevel="0" collapsed="false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customFormat="false" ht="15.75" hidden="false" customHeight="true" outlineLevel="0" collapsed="false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customFormat="false" ht="15.75" hidden="false" customHeight="true" outlineLevel="0" collapsed="false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customFormat="false" ht="15.75" hidden="false" customHeight="true" outlineLevel="0" collapsed="false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customFormat="false" ht="15.75" hidden="false" customHeight="true" outlineLevel="0" collapsed="false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customFormat="false" ht="15.75" hidden="false" customHeight="true" outlineLevel="0" collapsed="false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customFormat="false" ht="15.75" hidden="false" customHeight="true" outlineLevel="0" collapsed="false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customFormat="false" ht="15.75" hidden="false" customHeight="true" outlineLevel="0" collapsed="false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customFormat="false" ht="15.75" hidden="false" customHeight="true" outlineLevel="0" collapsed="false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customFormat="false" ht="15.75" hidden="false" customHeight="true" outlineLevel="0" collapsed="false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customFormat="false" ht="15.75" hidden="false" customHeight="true" outlineLevel="0" collapsed="false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customFormat="false" ht="15.75" hidden="false" customHeight="true" outlineLevel="0" collapsed="false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customFormat="false" ht="15.75" hidden="false" customHeight="true" outlineLevel="0" collapsed="false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customFormat="false" ht="15.75" hidden="false" customHeight="true" outlineLevel="0" collapsed="false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customFormat="false" ht="15.75" hidden="false" customHeight="true" outlineLevel="0" collapsed="false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customFormat="false" ht="15.75" hidden="false" customHeight="true" outlineLevel="0" collapsed="false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customFormat="false" ht="15.75" hidden="false" customHeight="true" outlineLevel="0" collapsed="false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customFormat="false" ht="15.75" hidden="false" customHeight="true" outlineLevel="0" collapsed="false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customFormat="false" ht="15.75" hidden="false" customHeight="true" outlineLevel="0" collapsed="false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customFormat="false" ht="15.75" hidden="false" customHeight="true" outlineLevel="0" collapsed="false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customFormat="false" ht="15.75" hidden="false" customHeight="true" outlineLevel="0" collapsed="false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customFormat="false" ht="15.75" hidden="false" customHeight="true" outlineLevel="0" collapsed="false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customFormat="false" ht="15.75" hidden="false" customHeight="true" outlineLevel="0" collapsed="false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customFormat="false" ht="15.75" hidden="false" customHeight="true" outlineLevel="0" collapsed="false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customFormat="false" ht="15.75" hidden="false" customHeight="true" outlineLevel="0" collapsed="false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customFormat="false" ht="15.75" hidden="false" customHeight="true" outlineLevel="0" collapsed="false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customFormat="false" ht="15.75" hidden="false" customHeight="true" outlineLevel="0" collapsed="false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customFormat="false" ht="15.75" hidden="false" customHeight="true" outlineLevel="0" collapsed="false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customFormat="false" ht="15.75" hidden="false" customHeight="true" outlineLevel="0" collapsed="false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customFormat="false" ht="15.75" hidden="false" customHeight="true" outlineLevel="0" collapsed="false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customFormat="false" ht="15.75" hidden="false" customHeight="true" outlineLevel="0" collapsed="false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customFormat="false" ht="15.75" hidden="false" customHeight="true" outlineLevel="0" collapsed="false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customFormat="false" ht="15.75" hidden="false" customHeight="true" outlineLevel="0" collapsed="false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customFormat="false" ht="15.75" hidden="false" customHeight="true" outlineLevel="0" collapsed="false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customFormat="false" ht="15.75" hidden="false" customHeight="true" outlineLevel="0" collapsed="false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customFormat="false" ht="15.75" hidden="false" customHeight="true" outlineLevel="0" collapsed="false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customFormat="false" ht="15.75" hidden="false" customHeight="true" outlineLevel="0" collapsed="false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customFormat="false" ht="15.75" hidden="false" customHeight="true" outlineLevel="0" collapsed="false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customFormat="false" ht="15.75" hidden="false" customHeight="true" outlineLevel="0" collapsed="false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customFormat="false" ht="15.75" hidden="false" customHeight="true" outlineLevel="0" collapsed="false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customFormat="false" ht="15.75" hidden="false" customHeight="true" outlineLevel="0" collapsed="false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customFormat="false" ht="15.75" hidden="false" customHeight="true" outlineLevel="0" collapsed="false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customFormat="false" ht="15.75" hidden="false" customHeight="true" outlineLevel="0" collapsed="false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customFormat="false" ht="15.75" hidden="false" customHeight="true" outlineLevel="0" collapsed="false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customFormat="false" ht="15.75" hidden="false" customHeight="true" outlineLevel="0" collapsed="false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customFormat="false" ht="15.75" hidden="false" customHeight="true" outlineLevel="0" collapsed="false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customFormat="false" ht="15.75" hidden="false" customHeight="true" outlineLevel="0" collapsed="false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customFormat="false" ht="15.75" hidden="false" customHeight="true" outlineLevel="0" collapsed="false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customFormat="false" ht="15.75" hidden="false" customHeight="true" outlineLevel="0" collapsed="false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customFormat="false" ht="15.75" hidden="false" customHeight="true" outlineLevel="0" collapsed="false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customFormat="false" ht="15.75" hidden="false" customHeight="true" outlineLevel="0" collapsed="false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customFormat="false" ht="15.75" hidden="false" customHeight="true" outlineLevel="0" collapsed="false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customFormat="false" ht="15.75" hidden="false" customHeight="true" outlineLevel="0" collapsed="false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customFormat="false" ht="15.75" hidden="false" customHeight="true" outlineLevel="0" collapsed="false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customFormat="false" ht="15.75" hidden="false" customHeight="true" outlineLevel="0" collapsed="false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customFormat="false" ht="15.75" hidden="false" customHeight="true" outlineLevel="0" collapsed="false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customFormat="false" ht="15.75" hidden="false" customHeight="true" outlineLevel="0" collapsed="false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customFormat="false" ht="15.75" hidden="false" customHeight="true" outlineLevel="0" collapsed="false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customFormat="false" ht="15.75" hidden="false" customHeight="true" outlineLevel="0" collapsed="false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customFormat="false" ht="15.75" hidden="false" customHeight="true" outlineLevel="0" collapsed="false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customFormat="false" ht="15.75" hidden="false" customHeight="true" outlineLevel="0" collapsed="false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customFormat="false" ht="15.75" hidden="false" customHeight="true" outlineLevel="0" collapsed="false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customFormat="false" ht="15.75" hidden="false" customHeight="true" outlineLevel="0" collapsed="false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customFormat="false" ht="15.75" hidden="false" customHeight="true" outlineLevel="0" collapsed="false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customFormat="false" ht="15.75" hidden="false" customHeight="true" outlineLevel="0" collapsed="false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customFormat="false" ht="15.75" hidden="false" customHeight="true" outlineLevel="0" collapsed="false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customFormat="false" ht="15.75" hidden="false" customHeight="true" outlineLevel="0" collapsed="false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customFormat="false" ht="15.75" hidden="false" customHeight="true" outlineLevel="0" collapsed="false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customFormat="false" ht="15.75" hidden="false" customHeight="true" outlineLevel="0" collapsed="false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customFormat="false" ht="15.75" hidden="false" customHeight="true" outlineLevel="0" collapsed="false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customFormat="false" ht="15.75" hidden="false" customHeight="true" outlineLevel="0" collapsed="false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customFormat="false" ht="15.75" hidden="false" customHeight="true" outlineLevel="0" collapsed="false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customFormat="false" ht="15.75" hidden="false" customHeight="true" outlineLevel="0" collapsed="false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customFormat="false" ht="15.75" hidden="false" customHeight="true" outlineLevel="0" collapsed="false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customFormat="false" ht="15.75" hidden="false" customHeight="true" outlineLevel="0" collapsed="false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customFormat="false" ht="15.75" hidden="false" customHeight="true" outlineLevel="0" collapsed="false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customFormat="false" ht="15.75" hidden="false" customHeight="true" outlineLevel="0" collapsed="false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customFormat="false" ht="15.75" hidden="false" customHeight="true" outlineLevel="0" collapsed="false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customFormat="false" ht="15.75" hidden="false" customHeight="true" outlineLevel="0" collapsed="false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customFormat="false" ht="15.75" hidden="false" customHeight="true" outlineLevel="0" collapsed="false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customFormat="false" ht="15.75" hidden="false" customHeight="true" outlineLevel="0" collapsed="false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customFormat="false" ht="15.75" hidden="false" customHeight="true" outlineLevel="0" collapsed="false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customFormat="false" ht="15.75" hidden="false" customHeight="true" outlineLevel="0" collapsed="false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customFormat="false" ht="15.75" hidden="false" customHeight="true" outlineLevel="0" collapsed="false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customFormat="false" ht="15.75" hidden="false" customHeight="true" outlineLevel="0" collapsed="false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customFormat="false" ht="15.75" hidden="false" customHeight="true" outlineLevel="0" collapsed="false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customFormat="false" ht="15.75" hidden="false" customHeight="true" outlineLevel="0" collapsed="false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customFormat="false" ht="15.75" hidden="false" customHeight="true" outlineLevel="0" collapsed="false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customFormat="false" ht="15.75" hidden="false" customHeight="true" outlineLevel="0" collapsed="false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customFormat="false" ht="15.75" hidden="false" customHeight="true" outlineLevel="0" collapsed="false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customFormat="false" ht="15.75" hidden="false" customHeight="true" outlineLevel="0" collapsed="false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customFormat="false" ht="15.75" hidden="false" customHeight="true" outlineLevel="0" collapsed="false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customFormat="false" ht="15.75" hidden="false" customHeight="true" outlineLevel="0" collapsed="false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customFormat="false" ht="15.75" hidden="false" customHeight="true" outlineLevel="0" collapsed="false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customFormat="false" ht="15.75" hidden="false" customHeight="true" outlineLevel="0" collapsed="false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customFormat="false" ht="15.75" hidden="false" customHeight="true" outlineLevel="0" collapsed="false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customFormat="false" ht="15.75" hidden="false" customHeight="true" outlineLevel="0" collapsed="false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customFormat="false" ht="15.75" hidden="false" customHeight="true" outlineLevel="0" collapsed="false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customFormat="false" ht="15.75" hidden="false" customHeight="true" outlineLevel="0" collapsed="false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customFormat="false" ht="15.75" hidden="false" customHeight="true" outlineLevel="0" collapsed="false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customFormat="false" ht="15.75" hidden="false" customHeight="true" outlineLevel="0" collapsed="false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customFormat="false" ht="15.75" hidden="false" customHeight="true" outlineLevel="0" collapsed="false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customFormat="false" ht="15.75" hidden="false" customHeight="true" outlineLevel="0" collapsed="false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customFormat="false" ht="15.75" hidden="false" customHeight="true" outlineLevel="0" collapsed="false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customFormat="false" ht="15.75" hidden="false" customHeight="true" outlineLevel="0" collapsed="false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customFormat="false" ht="15.75" hidden="false" customHeight="true" outlineLevel="0" collapsed="false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customFormat="false" ht="15.75" hidden="false" customHeight="true" outlineLevel="0" collapsed="false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customFormat="false" ht="15.75" hidden="false" customHeight="true" outlineLevel="0" collapsed="false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customFormat="false" ht="15.75" hidden="false" customHeight="true" outlineLevel="0" collapsed="false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customFormat="false" ht="15.75" hidden="false" customHeight="true" outlineLevel="0" collapsed="false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customFormat="false" ht="15.75" hidden="false" customHeight="true" outlineLevel="0" collapsed="false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customFormat="false" ht="15.75" hidden="false" customHeight="true" outlineLevel="0" collapsed="false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customFormat="false" ht="15.75" hidden="false" customHeight="true" outlineLevel="0" collapsed="false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customFormat="false" ht="15.75" hidden="false" customHeight="true" outlineLevel="0" collapsed="false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customFormat="false" ht="15.75" hidden="false" customHeight="true" outlineLevel="0" collapsed="false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customFormat="false" ht="15.75" hidden="false" customHeight="true" outlineLevel="0" collapsed="false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customFormat="false" ht="15.75" hidden="false" customHeight="true" outlineLevel="0" collapsed="false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customFormat="false" ht="15.75" hidden="false" customHeight="true" outlineLevel="0" collapsed="false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customFormat="false" ht="15.75" hidden="false" customHeight="true" outlineLevel="0" collapsed="false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customFormat="false" ht="15.75" hidden="false" customHeight="true" outlineLevel="0" collapsed="false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customFormat="false" ht="15.75" hidden="false" customHeight="true" outlineLevel="0" collapsed="false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customFormat="false" ht="15.75" hidden="false" customHeight="true" outlineLevel="0" collapsed="false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customFormat="false" ht="15.75" hidden="false" customHeight="true" outlineLevel="0" collapsed="false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customFormat="false" ht="15.75" hidden="false" customHeight="true" outlineLevel="0" collapsed="false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customFormat="false" ht="15.75" hidden="false" customHeight="true" outlineLevel="0" collapsed="false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customFormat="false" ht="15.75" hidden="false" customHeight="true" outlineLevel="0" collapsed="false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customFormat="false" ht="15.75" hidden="false" customHeight="true" outlineLevel="0" collapsed="false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customFormat="false" ht="15.75" hidden="false" customHeight="true" outlineLevel="0" collapsed="false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customFormat="false" ht="15.75" hidden="false" customHeight="true" outlineLevel="0" collapsed="false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customFormat="false" ht="15.75" hidden="false" customHeight="true" outlineLevel="0" collapsed="false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customFormat="false" ht="15.75" hidden="false" customHeight="true" outlineLevel="0" collapsed="false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customFormat="false" ht="15.75" hidden="false" customHeight="true" outlineLevel="0" collapsed="false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customFormat="false" ht="15.75" hidden="false" customHeight="true" outlineLevel="0" collapsed="false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customFormat="false" ht="15.75" hidden="false" customHeight="true" outlineLevel="0" collapsed="false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customFormat="false" ht="15.75" hidden="false" customHeight="true" outlineLevel="0" collapsed="false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customFormat="false" ht="15.75" hidden="false" customHeight="true" outlineLevel="0" collapsed="false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customFormat="false" ht="15.75" hidden="false" customHeight="true" outlineLevel="0" collapsed="false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customFormat="false" ht="15.75" hidden="false" customHeight="true" outlineLevel="0" collapsed="false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customFormat="false" ht="15.75" hidden="false" customHeight="true" outlineLevel="0" collapsed="false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customFormat="false" ht="15.75" hidden="false" customHeight="true" outlineLevel="0" collapsed="false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customFormat="false" ht="15.75" hidden="false" customHeight="true" outlineLevel="0" collapsed="false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customFormat="false" ht="15.75" hidden="false" customHeight="true" outlineLevel="0" collapsed="false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customFormat="false" ht="15.75" hidden="false" customHeight="true" outlineLevel="0" collapsed="false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customFormat="false" ht="15.75" hidden="false" customHeight="true" outlineLevel="0" collapsed="false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customFormat="false" ht="15.75" hidden="false" customHeight="true" outlineLevel="0" collapsed="false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customFormat="false" ht="15.75" hidden="false" customHeight="true" outlineLevel="0" collapsed="false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customFormat="false" ht="15.75" hidden="false" customHeight="true" outlineLevel="0" collapsed="false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customFormat="false" ht="15.75" hidden="false" customHeight="true" outlineLevel="0" collapsed="false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customFormat="false" ht="15.75" hidden="false" customHeight="true" outlineLevel="0" collapsed="false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customFormat="false" ht="15.75" hidden="false" customHeight="true" outlineLevel="0" collapsed="false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customFormat="false" ht="15.75" hidden="false" customHeight="true" outlineLevel="0" collapsed="false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customFormat="false" ht="15.75" hidden="false" customHeight="true" outlineLevel="0" collapsed="false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customFormat="false" ht="15.75" hidden="false" customHeight="true" outlineLevel="0" collapsed="false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customFormat="false" ht="15.75" hidden="false" customHeight="true" outlineLevel="0" collapsed="false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customFormat="false" ht="15.75" hidden="false" customHeight="true" outlineLevel="0" collapsed="false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customFormat="false" ht="15.75" hidden="false" customHeight="true" outlineLevel="0" collapsed="false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customFormat="false" ht="15.75" hidden="false" customHeight="true" outlineLevel="0" collapsed="false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customFormat="false" ht="15.75" hidden="false" customHeight="true" outlineLevel="0" collapsed="false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customFormat="false" ht="15.75" hidden="false" customHeight="true" outlineLevel="0" collapsed="false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customFormat="false" ht="15.75" hidden="false" customHeight="true" outlineLevel="0" collapsed="false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customFormat="false" ht="15.75" hidden="false" customHeight="true" outlineLevel="0" collapsed="false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customFormat="false" ht="15.75" hidden="false" customHeight="true" outlineLevel="0" collapsed="false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customFormat="false" ht="15.75" hidden="false" customHeight="true" outlineLevel="0" collapsed="false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customFormat="false" ht="15.75" hidden="false" customHeight="true" outlineLevel="0" collapsed="false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customFormat="false" ht="15.75" hidden="false" customHeight="true" outlineLevel="0" collapsed="false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customFormat="false" ht="15.75" hidden="false" customHeight="true" outlineLevel="0" collapsed="false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customFormat="false" ht="15.75" hidden="false" customHeight="true" outlineLevel="0" collapsed="false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customFormat="false" ht="15.75" hidden="false" customHeight="true" outlineLevel="0" collapsed="false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customFormat="false" ht="15.75" hidden="false" customHeight="true" outlineLevel="0" collapsed="false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customFormat="false" ht="15.75" hidden="false" customHeight="true" outlineLevel="0" collapsed="false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customFormat="false" ht="15.75" hidden="false" customHeight="true" outlineLevel="0" collapsed="false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customFormat="false" ht="15.75" hidden="false" customHeight="true" outlineLevel="0" collapsed="false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customFormat="false" ht="15.75" hidden="false" customHeight="true" outlineLevel="0" collapsed="false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customFormat="false" ht="15.75" hidden="false" customHeight="true" outlineLevel="0" collapsed="false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customFormat="false" ht="15.75" hidden="false" customHeight="true" outlineLevel="0" collapsed="false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customFormat="false" ht="15.75" hidden="false" customHeight="true" outlineLevel="0" collapsed="false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customFormat="false" ht="15.75" hidden="false" customHeight="true" outlineLevel="0" collapsed="false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customFormat="false" ht="15.75" hidden="false" customHeight="true" outlineLevel="0" collapsed="false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customFormat="false" ht="15.75" hidden="false" customHeight="true" outlineLevel="0" collapsed="false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customFormat="false" ht="15.75" hidden="false" customHeight="true" outlineLevel="0" collapsed="false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customFormat="false" ht="15.75" hidden="false" customHeight="true" outlineLevel="0" collapsed="false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customFormat="false" ht="15.75" hidden="false" customHeight="true" outlineLevel="0" collapsed="false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customFormat="false" ht="15.75" hidden="false" customHeight="true" outlineLevel="0" collapsed="false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customFormat="false" ht="15.75" hidden="false" customHeight="true" outlineLevel="0" collapsed="false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customFormat="false" ht="15.75" hidden="false" customHeight="true" outlineLevel="0" collapsed="false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customFormat="false" ht="15.75" hidden="false" customHeight="true" outlineLevel="0" collapsed="false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customFormat="false" ht="15.75" hidden="false" customHeight="true" outlineLevel="0" collapsed="false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customFormat="false" ht="15.75" hidden="false" customHeight="true" outlineLevel="0" collapsed="false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customFormat="false" ht="15.75" hidden="false" customHeight="true" outlineLevel="0" collapsed="false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customFormat="false" ht="15.75" hidden="false" customHeight="true" outlineLevel="0" collapsed="false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customFormat="false" ht="15.75" hidden="false" customHeight="true" outlineLevel="0" collapsed="false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customFormat="false" ht="15.75" hidden="false" customHeight="true" outlineLevel="0" collapsed="false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customFormat="false" ht="15.75" hidden="false" customHeight="true" outlineLevel="0" collapsed="false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customFormat="false" ht="15.75" hidden="false" customHeight="true" outlineLevel="0" collapsed="false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customFormat="false" ht="15.75" hidden="false" customHeight="true" outlineLevel="0" collapsed="false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customFormat="false" ht="15.75" hidden="false" customHeight="true" outlineLevel="0" collapsed="false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customFormat="false" ht="15.75" hidden="false" customHeight="true" outlineLevel="0" collapsed="false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customFormat="false" ht="15.75" hidden="false" customHeight="true" outlineLevel="0" collapsed="false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customFormat="false" ht="15.75" hidden="false" customHeight="true" outlineLevel="0" collapsed="false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customFormat="false" ht="15.75" hidden="false" customHeight="true" outlineLevel="0" collapsed="false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customFormat="false" ht="15.75" hidden="false" customHeight="true" outlineLevel="0" collapsed="false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customFormat="false" ht="15.75" hidden="false" customHeight="true" outlineLevel="0" collapsed="false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customFormat="false" ht="15.75" hidden="false" customHeight="true" outlineLevel="0" collapsed="false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customFormat="false" ht="15.75" hidden="false" customHeight="true" outlineLevel="0" collapsed="false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customFormat="false" ht="15.75" hidden="false" customHeight="true" outlineLevel="0" collapsed="false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customFormat="false" ht="15.75" hidden="false" customHeight="true" outlineLevel="0" collapsed="false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customFormat="false" ht="15.75" hidden="false" customHeight="true" outlineLevel="0" collapsed="false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customFormat="false" ht="15.75" hidden="false" customHeight="true" outlineLevel="0" collapsed="false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customFormat="false" ht="15.75" hidden="false" customHeight="true" outlineLevel="0" collapsed="false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customFormat="false" ht="15.75" hidden="false" customHeight="true" outlineLevel="0" collapsed="false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customFormat="false" ht="15.75" hidden="false" customHeight="true" outlineLevel="0" collapsed="false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customFormat="false" ht="15.75" hidden="false" customHeight="true" outlineLevel="0" collapsed="false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customFormat="false" ht="15.75" hidden="false" customHeight="true" outlineLevel="0" collapsed="false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customFormat="false" ht="15.75" hidden="false" customHeight="true" outlineLevel="0" collapsed="false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customFormat="false" ht="15.75" hidden="false" customHeight="true" outlineLevel="0" collapsed="false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customFormat="false" ht="15.75" hidden="false" customHeight="true" outlineLevel="0" collapsed="false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customFormat="false" ht="15.75" hidden="false" customHeight="true" outlineLevel="0" collapsed="false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customFormat="false" ht="15.75" hidden="false" customHeight="true" outlineLevel="0" collapsed="false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customFormat="false" ht="15.75" hidden="false" customHeight="true" outlineLevel="0" collapsed="false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customFormat="false" ht="15.75" hidden="false" customHeight="true" outlineLevel="0" collapsed="false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customFormat="false" ht="15.75" hidden="false" customHeight="true" outlineLevel="0" collapsed="false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customFormat="false" ht="15.75" hidden="false" customHeight="true" outlineLevel="0" collapsed="false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customFormat="false" ht="15.75" hidden="false" customHeight="true" outlineLevel="0" collapsed="false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customFormat="false" ht="15.75" hidden="false" customHeight="true" outlineLevel="0" collapsed="false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customFormat="false" ht="15.75" hidden="false" customHeight="true" outlineLevel="0" collapsed="false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customFormat="false" ht="15.75" hidden="false" customHeight="true" outlineLevel="0" collapsed="false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customFormat="false" ht="15.75" hidden="false" customHeight="true" outlineLevel="0" collapsed="false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customFormat="false" ht="15.75" hidden="false" customHeight="true" outlineLevel="0" collapsed="false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customFormat="false" ht="15.75" hidden="false" customHeight="true" outlineLevel="0" collapsed="false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customFormat="false" ht="15.75" hidden="false" customHeight="true" outlineLevel="0" collapsed="false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customFormat="false" ht="15.75" hidden="false" customHeight="true" outlineLevel="0" collapsed="false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customFormat="false" ht="15.75" hidden="false" customHeight="true" outlineLevel="0" collapsed="false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customFormat="false" ht="15.75" hidden="false" customHeight="true" outlineLevel="0" collapsed="false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customFormat="false" ht="15.75" hidden="false" customHeight="true" outlineLevel="0" collapsed="false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customFormat="false" ht="15.75" hidden="false" customHeight="true" outlineLevel="0" collapsed="false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customFormat="false" ht="15.75" hidden="false" customHeight="true" outlineLevel="0" collapsed="false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customFormat="false" ht="15.75" hidden="false" customHeight="true" outlineLevel="0" collapsed="false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customFormat="false" ht="15.75" hidden="false" customHeight="true" outlineLevel="0" collapsed="false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customFormat="false" ht="15.75" hidden="false" customHeight="true" outlineLevel="0" collapsed="false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customFormat="false" ht="15.75" hidden="false" customHeight="true" outlineLevel="0" collapsed="false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customFormat="false" ht="15.75" hidden="false" customHeight="true" outlineLevel="0" collapsed="false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customFormat="false" ht="15.75" hidden="false" customHeight="true" outlineLevel="0" collapsed="false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customFormat="false" ht="15.75" hidden="false" customHeight="true" outlineLevel="0" collapsed="false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customFormat="false" ht="15.75" hidden="false" customHeight="true" outlineLevel="0" collapsed="false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customFormat="false" ht="15.75" hidden="false" customHeight="true" outlineLevel="0" collapsed="false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customFormat="false" ht="15.75" hidden="false" customHeight="true" outlineLevel="0" collapsed="false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customFormat="false" ht="15.75" hidden="false" customHeight="true" outlineLevel="0" collapsed="false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customFormat="false" ht="15.75" hidden="false" customHeight="true" outlineLevel="0" collapsed="false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customFormat="false" ht="15.75" hidden="false" customHeight="true" outlineLevel="0" collapsed="false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customFormat="false" ht="15.75" hidden="false" customHeight="true" outlineLevel="0" collapsed="false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customFormat="false" ht="15.75" hidden="false" customHeight="true" outlineLevel="0" collapsed="false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customFormat="false" ht="15.75" hidden="false" customHeight="true" outlineLevel="0" collapsed="false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customFormat="false" ht="15.75" hidden="false" customHeight="true" outlineLevel="0" collapsed="false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customFormat="false" ht="15.75" hidden="false" customHeight="true" outlineLevel="0" collapsed="false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customFormat="false" ht="15.75" hidden="false" customHeight="true" outlineLevel="0" collapsed="false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customFormat="false" ht="15.75" hidden="false" customHeight="true" outlineLevel="0" collapsed="false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customFormat="false" ht="15.75" hidden="false" customHeight="true" outlineLevel="0" collapsed="false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customFormat="false" ht="15.75" hidden="false" customHeight="true" outlineLevel="0" collapsed="false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customFormat="false" ht="15.75" hidden="false" customHeight="true" outlineLevel="0" collapsed="false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customFormat="false" ht="15.75" hidden="false" customHeight="true" outlineLevel="0" collapsed="false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customFormat="false" ht="15.75" hidden="false" customHeight="true" outlineLevel="0" collapsed="false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customFormat="false" ht="15.75" hidden="false" customHeight="true" outlineLevel="0" collapsed="false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customFormat="false" ht="15.75" hidden="false" customHeight="true" outlineLevel="0" collapsed="false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customFormat="false" ht="15.75" hidden="false" customHeight="true" outlineLevel="0" collapsed="false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customFormat="false" ht="15.75" hidden="false" customHeight="true" outlineLevel="0" collapsed="false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customFormat="false" ht="15.75" hidden="false" customHeight="true" outlineLevel="0" collapsed="false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customFormat="false" ht="15.75" hidden="false" customHeight="true" outlineLevel="0" collapsed="false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customFormat="false" ht="15.75" hidden="false" customHeight="true" outlineLevel="0" collapsed="false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customFormat="false" ht="15.75" hidden="false" customHeight="true" outlineLevel="0" collapsed="false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customFormat="false" ht="15.75" hidden="false" customHeight="true" outlineLevel="0" collapsed="false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customFormat="false" ht="15.75" hidden="false" customHeight="true" outlineLevel="0" collapsed="false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customFormat="false" ht="15.75" hidden="false" customHeight="true" outlineLevel="0" collapsed="false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customFormat="false" ht="15.75" hidden="false" customHeight="true" outlineLevel="0" collapsed="false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customFormat="false" ht="15.75" hidden="false" customHeight="true" outlineLevel="0" collapsed="false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customFormat="false" ht="15.75" hidden="false" customHeight="true" outlineLevel="0" collapsed="false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customFormat="false" ht="15.75" hidden="false" customHeight="true" outlineLevel="0" collapsed="false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customFormat="false" ht="15.75" hidden="false" customHeight="true" outlineLevel="0" collapsed="false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customFormat="false" ht="15.75" hidden="false" customHeight="true" outlineLevel="0" collapsed="false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customFormat="false" ht="15.75" hidden="false" customHeight="true" outlineLevel="0" collapsed="false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customFormat="false" ht="15.75" hidden="false" customHeight="true" outlineLevel="0" collapsed="false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customFormat="false" ht="15.75" hidden="false" customHeight="true" outlineLevel="0" collapsed="false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customFormat="false" ht="15.75" hidden="false" customHeight="true" outlineLevel="0" collapsed="false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customFormat="false" ht="15.75" hidden="false" customHeight="true" outlineLevel="0" collapsed="false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customFormat="false" ht="15.75" hidden="false" customHeight="true" outlineLevel="0" collapsed="false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customFormat="false" ht="15.75" hidden="false" customHeight="true" outlineLevel="0" collapsed="false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customFormat="false" ht="15.75" hidden="false" customHeight="true" outlineLevel="0" collapsed="false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customFormat="false" ht="15.75" hidden="false" customHeight="true" outlineLevel="0" collapsed="false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customFormat="false" ht="15.75" hidden="false" customHeight="true" outlineLevel="0" collapsed="false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customFormat="false" ht="15.75" hidden="false" customHeight="true" outlineLevel="0" collapsed="false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customFormat="false" ht="15.75" hidden="false" customHeight="true" outlineLevel="0" collapsed="false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customFormat="false" ht="15.75" hidden="false" customHeight="true" outlineLevel="0" collapsed="false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customFormat="false" ht="15.75" hidden="false" customHeight="true" outlineLevel="0" collapsed="false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customFormat="false" ht="15.75" hidden="false" customHeight="true" outlineLevel="0" collapsed="false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customFormat="false" ht="15.75" hidden="false" customHeight="true" outlineLevel="0" collapsed="false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customFormat="false" ht="15.75" hidden="false" customHeight="true" outlineLevel="0" collapsed="false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customFormat="false" ht="15.75" hidden="false" customHeight="true" outlineLevel="0" collapsed="false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customFormat="false" ht="15.75" hidden="false" customHeight="true" outlineLevel="0" collapsed="false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customFormat="false" ht="15.75" hidden="false" customHeight="true" outlineLevel="0" collapsed="false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customFormat="false" ht="15.75" hidden="false" customHeight="true" outlineLevel="0" collapsed="false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customFormat="false" ht="15.75" hidden="false" customHeight="true" outlineLevel="0" collapsed="false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customFormat="false" ht="15.75" hidden="false" customHeight="true" outlineLevel="0" collapsed="false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customFormat="false" ht="15.75" hidden="false" customHeight="true" outlineLevel="0" collapsed="false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customFormat="false" ht="15.75" hidden="false" customHeight="true" outlineLevel="0" collapsed="false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customFormat="false" ht="15.75" hidden="false" customHeight="true" outlineLevel="0" collapsed="false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customFormat="false" ht="15.75" hidden="false" customHeight="true" outlineLevel="0" collapsed="false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customFormat="false" ht="15.75" hidden="false" customHeight="true" outlineLevel="0" collapsed="false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customFormat="false" ht="15.75" hidden="false" customHeight="true" outlineLevel="0" collapsed="false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customFormat="false" ht="15.75" hidden="false" customHeight="true" outlineLevel="0" collapsed="false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customFormat="false" ht="15.75" hidden="false" customHeight="true" outlineLevel="0" collapsed="false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customFormat="false" ht="15.75" hidden="false" customHeight="true" outlineLevel="0" collapsed="false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customFormat="false" ht="15.75" hidden="false" customHeight="true" outlineLevel="0" collapsed="false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customFormat="false" ht="15.75" hidden="false" customHeight="true" outlineLevel="0" collapsed="false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customFormat="false" ht="15.75" hidden="false" customHeight="true" outlineLevel="0" collapsed="false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customFormat="false" ht="15.75" hidden="false" customHeight="true" outlineLevel="0" collapsed="false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customFormat="false" ht="15.75" hidden="false" customHeight="true" outlineLevel="0" collapsed="false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customFormat="false" ht="15.75" hidden="false" customHeight="true" outlineLevel="0" collapsed="false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customFormat="false" ht="15.75" hidden="false" customHeight="true" outlineLevel="0" collapsed="false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customFormat="false" ht="15.75" hidden="false" customHeight="true" outlineLevel="0" collapsed="false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customFormat="false" ht="15.75" hidden="false" customHeight="true" outlineLevel="0" collapsed="false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customFormat="false" ht="15.75" hidden="false" customHeight="true" outlineLevel="0" collapsed="false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customFormat="false" ht="15.75" hidden="false" customHeight="true" outlineLevel="0" collapsed="false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customFormat="false" ht="15.75" hidden="false" customHeight="true" outlineLevel="0" collapsed="false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customFormat="false" ht="15.75" hidden="false" customHeight="true" outlineLevel="0" collapsed="false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customFormat="false" ht="15.75" hidden="false" customHeight="true" outlineLevel="0" collapsed="false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customFormat="false" ht="15.75" hidden="false" customHeight="true" outlineLevel="0" collapsed="false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customFormat="false" ht="15.75" hidden="false" customHeight="true" outlineLevel="0" collapsed="false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customFormat="false" ht="15.75" hidden="false" customHeight="true" outlineLevel="0" collapsed="false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customFormat="false" ht="15.75" hidden="false" customHeight="true" outlineLevel="0" collapsed="false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customFormat="false" ht="15.75" hidden="false" customHeight="true" outlineLevel="0" collapsed="false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customFormat="false" ht="15.75" hidden="false" customHeight="true" outlineLevel="0" collapsed="false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customFormat="false" ht="15.75" hidden="false" customHeight="true" outlineLevel="0" collapsed="false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customFormat="false" ht="15.75" hidden="false" customHeight="true" outlineLevel="0" collapsed="false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customFormat="false" ht="15.75" hidden="false" customHeight="true" outlineLevel="0" collapsed="false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customFormat="false" ht="15.75" hidden="false" customHeight="true" outlineLevel="0" collapsed="false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customFormat="false" ht="15.75" hidden="false" customHeight="true" outlineLevel="0" collapsed="false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customFormat="false" ht="15.75" hidden="false" customHeight="true" outlineLevel="0" collapsed="false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"15.75" hidden="false" customHeight="true" outlineLevel="0" collapsed="false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customFormat="false" ht="15.75" hidden="false" customHeight="true" outlineLevel="0" collapsed="false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customFormat="false" ht="15.75" hidden="false" customHeight="true" outlineLevel="0" collapsed="false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customFormat="false" ht="15.75" hidden="false" customHeight="true" outlineLevel="0" collapsed="false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customFormat="false" ht="15.75" hidden="false" customHeight="true" outlineLevel="0" collapsed="false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customFormat="false" ht="15.75" hidden="false" customHeight="true" outlineLevel="0" collapsed="false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customFormat="false" ht="15.75" hidden="false" customHeight="true" outlineLevel="0" collapsed="false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customFormat="false" ht="15.75" hidden="false" customHeight="true" outlineLevel="0" collapsed="false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customFormat="false" ht="15.75" hidden="false" customHeight="true" outlineLevel="0" collapsed="false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customFormat="false" ht="15.75" hidden="false" customHeight="true" outlineLevel="0" collapsed="false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customFormat="false" ht="15.75" hidden="false" customHeight="true" outlineLevel="0" collapsed="false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customFormat="false" ht="15.75" hidden="false" customHeight="true" outlineLevel="0" collapsed="false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customFormat="false" ht="15.75" hidden="false" customHeight="true" outlineLevel="0" collapsed="false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customFormat="false" ht="15.75" hidden="false" customHeight="true" outlineLevel="0" collapsed="false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customFormat="false" ht="15.75" hidden="false" customHeight="true" outlineLevel="0" collapsed="false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customFormat="false" ht="15.75" hidden="false" customHeight="true" outlineLevel="0" collapsed="false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customFormat="false" ht="15.75" hidden="false" customHeight="true" outlineLevel="0" collapsed="false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customFormat="false" ht="15.75" hidden="false" customHeight="true" outlineLevel="0" collapsed="false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customFormat="false" ht="15.75" hidden="false" customHeight="true" outlineLevel="0" collapsed="false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customFormat="false" ht="15.75" hidden="false" customHeight="true" outlineLevel="0" collapsed="false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customFormat="false" ht="15.75" hidden="false" customHeight="true" outlineLevel="0" collapsed="false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customFormat="false" ht="15.75" hidden="false" customHeight="true" outlineLevel="0" collapsed="false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customFormat="false" ht="15.75" hidden="false" customHeight="true" outlineLevel="0" collapsed="false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customFormat="false" ht="15.75" hidden="false" customHeight="true" outlineLevel="0" collapsed="false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mergeCells count="41">
    <mergeCell ref="A1:G1"/>
    <mergeCell ref="A2:G2"/>
    <mergeCell ref="A3:B3"/>
    <mergeCell ref="A4:B4"/>
    <mergeCell ref="A5:B5"/>
    <mergeCell ref="A6:B6"/>
    <mergeCell ref="A7:B7"/>
    <mergeCell ref="B9:B11"/>
    <mergeCell ref="F9:F11"/>
    <mergeCell ref="J9:J11"/>
    <mergeCell ref="N9:N11"/>
    <mergeCell ref="R9:R11"/>
    <mergeCell ref="C15:C16"/>
    <mergeCell ref="D15:D16"/>
    <mergeCell ref="G15:G16"/>
    <mergeCell ref="H15:H16"/>
    <mergeCell ref="K15:K16"/>
    <mergeCell ref="L15:L16"/>
    <mergeCell ref="O15:O16"/>
    <mergeCell ref="P15:P16"/>
    <mergeCell ref="S15:S16"/>
    <mergeCell ref="T15:T16"/>
    <mergeCell ref="C17:C18"/>
    <mergeCell ref="D17:D18"/>
    <mergeCell ref="G17:G18"/>
    <mergeCell ref="H17:H18"/>
    <mergeCell ref="K17:K18"/>
    <mergeCell ref="L17:L18"/>
    <mergeCell ref="O17:O18"/>
    <mergeCell ref="P17:P18"/>
    <mergeCell ref="S17:S18"/>
    <mergeCell ref="T17:T18"/>
    <mergeCell ref="G21:J31"/>
    <mergeCell ref="L21:M21"/>
    <mergeCell ref="L22:M22"/>
    <mergeCell ref="L23:M23"/>
    <mergeCell ref="L24:M24"/>
    <mergeCell ref="L25:M25"/>
    <mergeCell ref="B29:C29"/>
    <mergeCell ref="B30:C30"/>
    <mergeCell ref="B31:C3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D4" colorId="64" zoomScale="55" zoomScaleNormal="55" zoomScalePageLayoutView="100" workbookViewId="0">
      <selection pane="topLeft" activeCell="T12" activeCellId="0" sqref="T12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23"/>
    <col collapsed="false" customWidth="true" hidden="false" outlineLevel="0" max="2" min="2" style="1" width="34.43"/>
    <col collapsed="false" customWidth="true" hidden="false" outlineLevel="0" max="4" min="3" style="1" width="25.71"/>
    <col collapsed="false" customWidth="true" hidden="false" outlineLevel="0" max="5" min="5" style="1" width="26.29"/>
    <col collapsed="false" customWidth="true" hidden="false" outlineLevel="0" max="17" min="6" style="1" width="25.71"/>
    <col collapsed="false" customWidth="true" hidden="false" outlineLevel="0" max="26" min="18" style="1" width="18.71"/>
  </cols>
  <sheetData>
    <row r="1" customFormat="false" ht="29.15" hidden="false" customHeight="false" outlineLevel="0" collapsed="false">
      <c r="A1" s="31" t="s">
        <v>121</v>
      </c>
      <c r="B1" s="31"/>
      <c r="C1" s="31"/>
      <c r="D1" s="31"/>
      <c r="E1" s="31"/>
      <c r="F1" s="31"/>
      <c r="G1" s="31"/>
      <c r="H1" s="32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52"/>
      <c r="V1" s="33"/>
      <c r="W1" s="33"/>
      <c r="X1" s="33"/>
      <c r="Y1" s="33"/>
      <c r="Z1" s="33"/>
    </row>
    <row r="2" customFormat="false" ht="54.75" hidden="false" customHeight="true" outlineLevel="0" collapsed="false">
      <c r="A2" s="34" t="s">
        <v>122</v>
      </c>
      <c r="B2" s="34"/>
      <c r="C2" s="34"/>
      <c r="D2" s="34"/>
      <c r="E2" s="34"/>
      <c r="F2" s="34"/>
      <c r="G2" s="34"/>
      <c r="H2" s="35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customFormat="false" ht="19.5" hidden="false" customHeight="true" outlineLevel="0" collapsed="false">
      <c r="A3" s="53" t="s">
        <v>101</v>
      </c>
      <c r="B3" s="53"/>
      <c r="C3" s="43"/>
      <c r="D3" s="39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customFormat="false" ht="19.5" hidden="false" customHeight="true" outlineLevel="0" collapsed="false">
      <c r="A4" s="53" t="s">
        <v>123</v>
      </c>
      <c r="B4" s="53"/>
      <c r="C4" s="54" t="n">
        <v>10</v>
      </c>
      <c r="D4" s="39"/>
      <c r="E4" s="39"/>
      <c r="F4" s="39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customFormat="false" ht="19.5" hidden="false" customHeight="true" outlineLevel="0" collapsed="false">
      <c r="A5" s="53" t="s">
        <v>106</v>
      </c>
      <c r="B5" s="53"/>
      <c r="C5" s="54" t="n">
        <v>0.0035</v>
      </c>
      <c r="D5" s="39"/>
      <c r="E5" s="39"/>
      <c r="F5" s="39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customFormat="false" ht="36.75" hidden="false" customHeight="true" outlineLevel="0" collapsed="false">
      <c r="A6" s="64" t="s">
        <v>124</v>
      </c>
      <c r="B6" s="64"/>
      <c r="C6" s="54" t="n">
        <v>0.02</v>
      </c>
      <c r="D6" s="39"/>
      <c r="E6" s="39"/>
      <c r="F6" s="39"/>
      <c r="G6" s="38"/>
      <c r="H6" s="38"/>
      <c r="I6" s="38"/>
      <c r="J6" s="38" t="s">
        <v>125</v>
      </c>
      <c r="K6" s="38" t="n">
        <v>338</v>
      </c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customFormat="false" ht="23.25" hidden="false" customHeight="true" outlineLevel="0" collapsed="false">
      <c r="A7" s="38"/>
      <c r="B7" s="38"/>
      <c r="C7" s="38"/>
      <c r="D7" s="38"/>
      <c r="E7" s="55"/>
      <c r="F7" s="55"/>
      <c r="G7" s="38"/>
      <c r="H7" s="38"/>
      <c r="I7" s="38"/>
      <c r="J7" s="38"/>
      <c r="K7" s="38" t="n">
        <f aca="false">K6-20</f>
        <v>318</v>
      </c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customFormat="false" ht="57" hidden="false" customHeight="true" outlineLevel="0" collapsed="false">
      <c r="A8" s="38"/>
      <c r="B8" s="56" t="s">
        <v>126</v>
      </c>
      <c r="C8" s="38"/>
      <c r="D8" s="42" t="s">
        <v>108</v>
      </c>
      <c r="E8" s="57"/>
      <c r="F8" s="56" t="s">
        <v>126</v>
      </c>
      <c r="G8" s="38"/>
      <c r="H8" s="42" t="s">
        <v>108</v>
      </c>
      <c r="I8" s="38"/>
      <c r="J8" s="56" t="s">
        <v>126</v>
      </c>
      <c r="K8" s="38"/>
      <c r="L8" s="42" t="s">
        <v>108</v>
      </c>
      <c r="M8" s="38"/>
      <c r="N8" s="56" t="s">
        <v>126</v>
      </c>
      <c r="O8" s="38"/>
      <c r="P8" s="42" t="s">
        <v>108</v>
      </c>
      <c r="Q8" s="38"/>
      <c r="R8" s="56" t="s">
        <v>126</v>
      </c>
      <c r="S8" s="38"/>
      <c r="T8" s="42" t="s">
        <v>108</v>
      </c>
      <c r="U8" s="38"/>
      <c r="V8" s="38"/>
      <c r="W8" s="38"/>
      <c r="X8" s="38"/>
      <c r="Y8" s="38"/>
      <c r="Z8" s="38"/>
    </row>
    <row r="9" customFormat="false" ht="24" hidden="false" customHeight="true" outlineLevel="0" collapsed="false">
      <c r="A9" s="38"/>
      <c r="B9" s="56"/>
      <c r="C9" s="58" t="s">
        <v>109</v>
      </c>
      <c r="D9" s="59" t="n">
        <v>0.016</v>
      </c>
      <c r="E9" s="60"/>
      <c r="F9" s="56"/>
      <c r="G9" s="58" t="s">
        <v>109</v>
      </c>
      <c r="H9" s="59" t="n">
        <v>0.021</v>
      </c>
      <c r="I9" s="38"/>
      <c r="J9" s="56"/>
      <c r="K9" s="58" t="s">
        <v>109</v>
      </c>
      <c r="L9" s="59" t="n">
        <v>0.028</v>
      </c>
      <c r="M9" s="38"/>
      <c r="N9" s="56"/>
      <c r="O9" s="58" t="s">
        <v>109</v>
      </c>
      <c r="P9" s="59" t="n">
        <v>0.031</v>
      </c>
      <c r="Q9" s="38"/>
      <c r="R9" s="56"/>
      <c r="S9" s="58" t="s">
        <v>109</v>
      </c>
      <c r="T9" s="59" t="n">
        <v>0.026</v>
      </c>
      <c r="U9" s="38"/>
      <c r="V9" s="38"/>
      <c r="W9" s="38"/>
      <c r="X9" s="38"/>
      <c r="Y9" s="38"/>
      <c r="Z9" s="38"/>
    </row>
    <row r="10" customFormat="false" ht="24" hidden="false" customHeight="true" outlineLevel="0" collapsed="false">
      <c r="A10" s="38"/>
      <c r="B10" s="56"/>
      <c r="C10" s="58" t="s">
        <v>110</v>
      </c>
      <c r="D10" s="59" t="n">
        <v>0.015</v>
      </c>
      <c r="E10" s="60"/>
      <c r="F10" s="56"/>
      <c r="G10" s="58" t="s">
        <v>110</v>
      </c>
      <c r="H10" s="59" t="n">
        <v>0.022</v>
      </c>
      <c r="I10" s="38"/>
      <c r="J10" s="56"/>
      <c r="K10" s="58" t="s">
        <v>110</v>
      </c>
      <c r="L10" s="59" t="n">
        <v>0.027</v>
      </c>
      <c r="M10" s="38"/>
      <c r="N10" s="56"/>
      <c r="O10" s="58" t="s">
        <v>110</v>
      </c>
      <c r="P10" s="59" t="n">
        <v>0.03</v>
      </c>
      <c r="Q10" s="38"/>
      <c r="R10" s="56"/>
      <c r="S10" s="58" t="s">
        <v>110</v>
      </c>
      <c r="T10" s="59" t="n">
        <v>0.027</v>
      </c>
      <c r="U10" s="38"/>
      <c r="V10" s="38"/>
      <c r="W10" s="38"/>
      <c r="X10" s="38"/>
      <c r="Y10" s="38"/>
      <c r="Z10" s="38"/>
    </row>
    <row r="11" customFormat="false" ht="24" hidden="false" customHeight="true" outlineLevel="0" collapsed="false">
      <c r="A11" s="38"/>
      <c r="B11" s="65" t="n">
        <v>0</v>
      </c>
      <c r="C11" s="58" t="s">
        <v>111</v>
      </c>
      <c r="D11" s="59" t="n">
        <v>0.015</v>
      </c>
      <c r="E11" s="60"/>
      <c r="F11" s="66" t="n">
        <v>0.01</v>
      </c>
      <c r="G11" s="58" t="s">
        <v>111</v>
      </c>
      <c r="H11" s="59" t="n">
        <v>0.02</v>
      </c>
      <c r="I11" s="38"/>
      <c r="J11" s="66" t="n">
        <v>0.02</v>
      </c>
      <c r="K11" s="58" t="s">
        <v>111</v>
      </c>
      <c r="L11" s="59" t="n">
        <v>0.028</v>
      </c>
      <c r="M11" s="38"/>
      <c r="N11" s="66" t="n">
        <v>0.03</v>
      </c>
      <c r="O11" s="58" t="s">
        <v>111</v>
      </c>
      <c r="P11" s="59" t="n">
        <v>0.029</v>
      </c>
      <c r="Q11" s="38"/>
      <c r="R11" s="66" t="n">
        <v>0.04</v>
      </c>
      <c r="S11" s="58" t="s">
        <v>111</v>
      </c>
      <c r="T11" s="59" t="n">
        <v>0.028</v>
      </c>
      <c r="U11" s="38"/>
      <c r="V11" s="38"/>
      <c r="W11" s="38"/>
      <c r="X11" s="38"/>
      <c r="Y11" s="38"/>
      <c r="Z11" s="38"/>
    </row>
    <row r="12" customFormat="false" ht="57" hidden="false" customHeight="true" outlineLevel="0" collapsed="false">
      <c r="A12" s="38"/>
      <c r="B12" s="38"/>
      <c r="C12" s="42" t="s">
        <v>112</v>
      </c>
      <c r="D12" s="59"/>
      <c r="E12" s="3"/>
      <c r="F12" s="38"/>
      <c r="G12" s="42" t="s">
        <v>112</v>
      </c>
      <c r="H12" s="59"/>
      <c r="I12" s="38"/>
      <c r="J12" s="38"/>
      <c r="K12" s="42" t="s">
        <v>112</v>
      </c>
      <c r="L12" s="59"/>
      <c r="M12" s="38"/>
      <c r="N12" s="38"/>
      <c r="O12" s="42" t="s">
        <v>112</v>
      </c>
      <c r="P12" s="59"/>
      <c r="Q12" s="38"/>
      <c r="R12" s="38"/>
      <c r="S12" s="42" t="s">
        <v>112</v>
      </c>
      <c r="T12" s="59"/>
      <c r="U12" s="38"/>
      <c r="V12" s="38"/>
      <c r="W12" s="38"/>
      <c r="X12" s="38"/>
      <c r="Y12" s="38"/>
      <c r="Z12" s="38"/>
    </row>
    <row r="13" customFormat="false" ht="26.85" hidden="false" customHeight="false" outlineLevel="0" collapsed="false">
      <c r="A13" s="38"/>
      <c r="B13" s="38"/>
      <c r="C13" s="42" t="s">
        <v>113</v>
      </c>
      <c r="D13" s="47"/>
      <c r="E13" s="3"/>
      <c r="F13" s="3"/>
      <c r="G13" s="42" t="s">
        <v>113</v>
      </c>
      <c r="H13" s="47"/>
      <c r="I13" s="38"/>
      <c r="J13" s="38"/>
      <c r="K13" s="42" t="s">
        <v>113</v>
      </c>
      <c r="L13" s="47"/>
      <c r="M13" s="38"/>
      <c r="N13" s="38"/>
      <c r="O13" s="42" t="s">
        <v>113</v>
      </c>
      <c r="P13" s="47"/>
      <c r="Q13" s="38"/>
      <c r="R13" s="38"/>
      <c r="S13" s="42" t="s">
        <v>113</v>
      </c>
      <c r="T13" s="47"/>
      <c r="U13" s="38"/>
      <c r="V13" s="38"/>
      <c r="W13" s="38"/>
      <c r="X13" s="38"/>
      <c r="Y13" s="38"/>
      <c r="Z13" s="38"/>
    </row>
    <row r="14" customFormat="false" ht="21" hidden="false" customHeight="true" outlineLevel="0" collapsed="false">
      <c r="A14" s="38"/>
      <c r="B14" s="38"/>
      <c r="C14" s="61" t="s">
        <v>114</v>
      </c>
      <c r="D14" s="43"/>
      <c r="E14" s="3"/>
      <c r="F14" s="3"/>
      <c r="G14" s="61" t="s">
        <v>114</v>
      </c>
      <c r="H14" s="43"/>
      <c r="I14" s="38"/>
      <c r="J14" s="38"/>
      <c r="K14" s="61" t="s">
        <v>114</v>
      </c>
      <c r="L14" s="43"/>
      <c r="M14" s="38"/>
      <c r="N14" s="38"/>
      <c r="O14" s="61" t="s">
        <v>114</v>
      </c>
      <c r="P14" s="43"/>
      <c r="Q14" s="38"/>
      <c r="R14" s="38"/>
      <c r="S14" s="61" t="s">
        <v>114</v>
      </c>
      <c r="T14" s="43"/>
      <c r="U14" s="38"/>
      <c r="V14" s="38"/>
      <c r="W14" s="38"/>
      <c r="X14" s="38"/>
      <c r="Y14" s="38"/>
      <c r="Z14" s="38"/>
    </row>
    <row r="15" customFormat="false" ht="21" hidden="false" customHeight="true" outlineLevel="0" collapsed="false">
      <c r="A15" s="38"/>
      <c r="B15" s="38"/>
      <c r="C15" s="61"/>
      <c r="D15" s="43"/>
      <c r="E15" s="3"/>
      <c r="F15" s="3"/>
      <c r="G15" s="61"/>
      <c r="H15" s="43"/>
      <c r="I15" s="38"/>
      <c r="J15" s="38"/>
      <c r="K15" s="61"/>
      <c r="L15" s="43"/>
      <c r="M15" s="38"/>
      <c r="N15" s="38"/>
      <c r="O15" s="61"/>
      <c r="P15" s="43"/>
      <c r="Q15" s="38"/>
      <c r="R15" s="38"/>
      <c r="S15" s="61"/>
      <c r="T15" s="43"/>
      <c r="U15" s="38"/>
      <c r="V15" s="38"/>
      <c r="W15" s="38"/>
      <c r="X15" s="38"/>
      <c r="Y15" s="38"/>
      <c r="Z15" s="38"/>
    </row>
    <row r="16" customFormat="false" ht="21" hidden="false" customHeight="true" outlineLevel="0" collapsed="false">
      <c r="A16" s="38"/>
      <c r="B16" s="38"/>
      <c r="C16" s="42" t="s">
        <v>115</v>
      </c>
      <c r="D16" s="43"/>
      <c r="E16" s="3"/>
      <c r="F16" s="3"/>
      <c r="G16" s="42" t="s">
        <v>115</v>
      </c>
      <c r="H16" s="43"/>
      <c r="I16" s="38"/>
      <c r="J16" s="38"/>
      <c r="K16" s="42" t="s">
        <v>115</v>
      </c>
      <c r="L16" s="43"/>
      <c r="M16" s="38"/>
      <c r="N16" s="38"/>
      <c r="O16" s="42" t="s">
        <v>115</v>
      </c>
      <c r="P16" s="43"/>
      <c r="Q16" s="38"/>
      <c r="R16" s="38"/>
      <c r="S16" s="42" t="s">
        <v>115</v>
      </c>
      <c r="T16" s="43"/>
      <c r="U16" s="38"/>
      <c r="V16" s="38"/>
      <c r="W16" s="38"/>
      <c r="X16" s="38"/>
      <c r="Y16" s="38"/>
      <c r="Z16" s="38"/>
    </row>
    <row r="17" customFormat="false" ht="21" hidden="false" customHeight="true" outlineLevel="0" collapsed="false">
      <c r="A17" s="38"/>
      <c r="B17" s="38"/>
      <c r="C17" s="42"/>
      <c r="D17" s="42"/>
      <c r="E17" s="3"/>
      <c r="F17" s="3"/>
      <c r="G17" s="42"/>
      <c r="H17" s="42"/>
      <c r="I17" s="38"/>
      <c r="J17" s="38"/>
      <c r="K17" s="42"/>
      <c r="L17" s="42"/>
      <c r="M17" s="38"/>
      <c r="N17" s="38"/>
      <c r="O17" s="42"/>
      <c r="P17" s="42"/>
      <c r="Q17" s="38"/>
      <c r="R17" s="38"/>
      <c r="S17" s="42"/>
      <c r="T17" s="42"/>
      <c r="U17" s="38"/>
      <c r="V17" s="38"/>
      <c r="W17" s="38"/>
      <c r="X17" s="38"/>
      <c r="Y17" s="38"/>
      <c r="Z17" s="38"/>
    </row>
    <row r="18" customFormat="false" ht="21" hidden="false" customHeight="true" outlineLevel="0" collapsed="false">
      <c r="A18" s="38"/>
      <c r="B18" s="38"/>
      <c r="C18" s="3"/>
      <c r="D18" s="3"/>
      <c r="E18" s="3"/>
      <c r="F18" s="3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customFormat="false" ht="21" hidden="false" customHeight="true" outlineLevel="0" collapsed="false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customFormat="false" ht="26.85" hidden="false" customHeight="false" outlineLevel="0" collapsed="false">
      <c r="A20" s="38"/>
      <c r="B20" s="42" t="s">
        <v>127</v>
      </c>
      <c r="C20" s="42" t="s">
        <v>128</v>
      </c>
      <c r="D20" s="43"/>
      <c r="E20" s="44"/>
      <c r="G20" s="43" t="s">
        <v>97</v>
      </c>
      <c r="H20" s="43"/>
      <c r="I20" s="43"/>
      <c r="J20" s="43"/>
      <c r="L20" s="45" t="s">
        <v>91</v>
      </c>
      <c r="M20" s="45"/>
      <c r="N20" s="45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customFormat="false" ht="15.75" hidden="false" customHeight="true" outlineLevel="0" collapsed="false">
      <c r="A21" s="38"/>
      <c r="B21" s="18"/>
      <c r="C21" s="18"/>
      <c r="D21" s="43"/>
      <c r="E21" s="43"/>
      <c r="G21" s="43"/>
      <c r="H21" s="43"/>
      <c r="I21" s="43"/>
      <c r="J21" s="43"/>
      <c r="L21" s="46" t="s">
        <v>92</v>
      </c>
      <c r="M21" s="46"/>
      <c r="N21" s="46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customFormat="false" ht="15.75" hidden="false" customHeight="true" outlineLevel="0" collapsed="false">
      <c r="A22" s="38"/>
      <c r="B22" s="18"/>
      <c r="C22" s="18"/>
      <c r="D22" s="43"/>
      <c r="E22" s="47"/>
      <c r="G22" s="43"/>
      <c r="H22" s="43"/>
      <c r="I22" s="43"/>
      <c r="J22" s="43"/>
      <c r="L22" s="48" t="s">
        <v>93</v>
      </c>
      <c r="M22" s="48"/>
      <c r="N22" s="4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customFormat="false" ht="15.75" hidden="false" customHeight="true" outlineLevel="0" collapsed="false">
      <c r="A23" s="38"/>
      <c r="B23" s="18"/>
      <c r="C23" s="18"/>
      <c r="D23" s="43"/>
      <c r="E23" s="47"/>
      <c r="G23" s="43"/>
      <c r="H23" s="43"/>
      <c r="I23" s="43"/>
      <c r="J23" s="43"/>
      <c r="L23" s="49" t="s">
        <v>94</v>
      </c>
      <c r="M23" s="49"/>
      <c r="N23" s="49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customFormat="false" ht="15.75" hidden="false" customHeight="true" outlineLevel="0" collapsed="false">
      <c r="A24" s="38"/>
      <c r="B24" s="18"/>
      <c r="C24" s="18"/>
      <c r="D24" s="43"/>
      <c r="E24" s="47"/>
      <c r="G24" s="43"/>
      <c r="H24" s="43"/>
      <c r="I24" s="43"/>
      <c r="J24" s="43"/>
      <c r="L24" s="50" t="s">
        <v>95</v>
      </c>
      <c r="M24" s="50"/>
      <c r="N24" s="50" t="n">
        <f aca="false">SUM(N20:N23)</f>
        <v>0</v>
      </c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customFormat="false" ht="15.75" hidden="false" customHeight="true" outlineLevel="0" collapsed="false">
      <c r="A25" s="38"/>
      <c r="B25" s="18"/>
      <c r="C25" s="18"/>
      <c r="D25" s="43"/>
      <c r="E25" s="47"/>
      <c r="G25" s="43"/>
      <c r="H25" s="43"/>
      <c r="I25" s="43"/>
      <c r="J25" s="43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customFormat="false" ht="21" hidden="false" customHeight="true" outlineLevel="0" collapsed="false">
      <c r="A26" s="38"/>
      <c r="G26" s="43"/>
      <c r="H26" s="43"/>
      <c r="I26" s="43"/>
      <c r="J26" s="43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customFormat="false" ht="21" hidden="false" customHeight="true" outlineLevel="0" collapsed="false">
      <c r="A27" s="38"/>
      <c r="G27" s="43"/>
      <c r="H27" s="43"/>
      <c r="I27" s="43"/>
      <c r="J27" s="43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customFormat="false" ht="21" hidden="false" customHeight="true" outlineLevel="0" collapsed="false">
      <c r="A28" s="38"/>
      <c r="B28" s="62" t="s">
        <v>118</v>
      </c>
      <c r="C28" s="62"/>
      <c r="D28" s="63"/>
      <c r="G28" s="43"/>
      <c r="H28" s="43"/>
      <c r="I28" s="43"/>
      <c r="J28" s="43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customFormat="false" ht="24.75" hidden="false" customHeight="true" outlineLevel="0" collapsed="false">
      <c r="A29" s="38"/>
      <c r="B29" s="62" t="s">
        <v>119</v>
      </c>
      <c r="C29" s="62"/>
      <c r="D29" s="63"/>
      <c r="G29" s="43"/>
      <c r="H29" s="43"/>
      <c r="I29" s="43"/>
      <c r="J29" s="43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customFormat="false" ht="21" hidden="false" customHeight="true" outlineLevel="0" collapsed="false">
      <c r="A30" s="38"/>
      <c r="B30" s="62" t="s">
        <v>120</v>
      </c>
      <c r="C30" s="62"/>
      <c r="D30" s="63"/>
      <c r="G30" s="43"/>
      <c r="H30" s="43"/>
      <c r="I30" s="43"/>
      <c r="J30" s="43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customFormat="false" ht="21" hidden="false" customHeight="true" outlineLevel="0" collapsed="false">
      <c r="A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customFormat="false" ht="21" hidden="false" customHeight="true" outlineLevel="0" collapsed="false">
      <c r="A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customFormat="false" ht="21" hidden="false" customHeight="true" outlineLevel="0" collapsed="false">
      <c r="A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customFormat="false" ht="21" hidden="false" customHeight="true" outlineLevel="0" collapsed="false">
      <c r="A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customFormat="false" ht="21" hidden="false" customHeight="true" outlineLevel="0" collapsed="false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customFormat="false" ht="21" hidden="false" customHeight="true" outlineLevel="0" collapsed="false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customFormat="false" ht="21" hidden="false" customHeight="true" outlineLevel="0" collapsed="false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customFormat="false" ht="21" hidden="false" customHeight="true" outlineLevel="0" collapsed="false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customFormat="false" ht="21" hidden="false" customHeight="true" outlineLevel="0" collapsed="false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customFormat="false" ht="21" hidden="false" customHeight="true" outlineLevel="0" collapsed="false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customFormat="false" ht="21" hidden="false" customHeight="true" outlineLevel="0" collapsed="false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customFormat="false" ht="21" hidden="false" customHeight="true" outlineLevel="0" collapsed="false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customFormat="false" ht="21" hidden="false" customHeight="true" outlineLevel="0" collapsed="false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customFormat="false" ht="21" hidden="false" customHeight="true" outlineLevel="0" collapsed="false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customFormat="false" ht="21" hidden="false" customHeight="true" outlineLevel="0" collapsed="false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customFormat="false" ht="21" hidden="false" customHeight="true" outlineLevel="0" collapsed="false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customFormat="false" ht="21" hidden="false" customHeight="true" outlineLevel="0" collapsed="false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customFormat="false" ht="21" hidden="false" customHeight="true" outlineLevel="0" collapsed="false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customFormat="false" ht="21" hidden="false" customHeight="true" outlineLevel="0" collapsed="false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customFormat="false" ht="21" hidden="false" customHeight="true" outlineLevel="0" collapsed="false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customFormat="false" ht="21" hidden="false" customHeight="true" outlineLevel="0" collapsed="false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customFormat="false" ht="21" hidden="false" customHeight="true" outlineLevel="0" collapsed="false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customFormat="false" ht="21" hidden="false" customHeight="true" outlineLevel="0" collapsed="false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customFormat="false" ht="21" hidden="false" customHeight="true" outlineLevel="0" collapsed="false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customFormat="false" ht="21" hidden="false" customHeight="true" outlineLevel="0" collapsed="false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customFormat="false" ht="21" hidden="false" customHeight="true" outlineLevel="0" collapsed="false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customFormat="false" ht="21" hidden="false" customHeight="true" outlineLevel="0" collapsed="false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customFormat="false" ht="21" hidden="false" customHeight="true" outlineLevel="0" collapsed="false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customFormat="false" ht="21" hidden="false" customHeight="true" outlineLevel="0" collapsed="false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customFormat="false" ht="21" hidden="false" customHeight="true" outlineLevel="0" collapsed="false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customFormat="false" ht="21" hidden="false" customHeight="true" outlineLevel="0" collapsed="false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customFormat="false" ht="21" hidden="false" customHeight="true" outlineLevel="0" collapsed="false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customFormat="false" ht="21" hidden="false" customHeight="true" outlineLevel="0" collapsed="false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customFormat="false" ht="21" hidden="false" customHeight="true" outlineLevel="0" collapsed="false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customFormat="false" ht="21" hidden="false" customHeight="true" outlineLevel="0" collapsed="false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customFormat="false" ht="21" hidden="false" customHeight="true" outlineLevel="0" collapsed="false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customFormat="false" ht="21" hidden="false" customHeight="true" outlineLevel="0" collapsed="false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customFormat="false" ht="21" hidden="false" customHeight="true" outlineLevel="0" collapsed="false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customFormat="false" ht="21" hidden="false" customHeight="true" outlineLevel="0" collapsed="false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customFormat="false" ht="21" hidden="false" customHeight="true" outlineLevel="0" collapsed="false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customFormat="false" ht="15.75" hidden="false" customHeight="true" outlineLevel="0" collapsed="false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customFormat="false" ht="15.75" hidden="false" customHeight="true" outlineLevel="0" collapsed="false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customFormat="false" ht="15.75" hidden="false" customHeight="true" outlineLevel="0" collapsed="false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customFormat="false" ht="15.75" hidden="false" customHeight="true" outlineLevel="0" collapsed="false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customFormat="false" ht="15.75" hidden="false" customHeight="true" outlineLevel="0" collapsed="false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customFormat="false" ht="15.75" hidden="false" customHeight="true" outlineLevel="0" collapsed="false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customFormat="false" ht="15.75" hidden="false" customHeight="true" outlineLevel="0" collapsed="false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customFormat="false" ht="15.75" hidden="false" customHeight="true" outlineLevel="0" collapsed="false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customFormat="false" ht="15.75" hidden="false" customHeight="true" outlineLevel="0" collapsed="false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customFormat="false" ht="15.75" hidden="false" customHeight="true" outlineLevel="0" collapsed="false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customFormat="false" ht="15.75" hidden="false" customHeight="true" outlineLevel="0" collapsed="false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customFormat="false" ht="15.75" hidden="false" customHeight="true" outlineLevel="0" collapsed="false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customFormat="false" ht="15.75" hidden="false" customHeight="true" outlineLevel="0" collapsed="false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customFormat="false" ht="15.75" hidden="false" customHeight="true" outlineLevel="0" collapsed="false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customFormat="false" ht="15.75" hidden="false" customHeight="true" outlineLevel="0" collapsed="false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customFormat="false" ht="15.75" hidden="false" customHeight="true" outlineLevel="0" collapsed="false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customFormat="false" ht="15.75" hidden="false" customHeight="true" outlineLevel="0" collapsed="false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customFormat="false" ht="15.75" hidden="false" customHeight="true" outlineLevel="0" collapsed="false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customFormat="false" ht="15.75" hidden="false" customHeight="true" outlineLevel="0" collapsed="false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customFormat="false" ht="15.75" hidden="false" customHeight="true" outlineLevel="0" collapsed="false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customFormat="false" ht="15.75" hidden="false" customHeight="true" outlineLevel="0" collapsed="false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customFormat="false" ht="15.75" hidden="false" customHeight="true" outlineLevel="0" collapsed="false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customFormat="false" ht="15.75" hidden="false" customHeight="true" outlineLevel="0" collapsed="false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customFormat="false" ht="15.75" hidden="false" customHeight="true" outlineLevel="0" collapsed="false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customFormat="false" ht="15.75" hidden="false" customHeight="true" outlineLevel="0" collapsed="false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customFormat="false" ht="15.75" hidden="false" customHeight="true" outlineLevel="0" collapsed="false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customFormat="false" ht="15.75" hidden="false" customHeight="true" outlineLevel="0" collapsed="false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customFormat="false" ht="15.75" hidden="false" customHeight="true" outlineLevel="0" collapsed="false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customFormat="false" ht="15.75" hidden="false" customHeight="true" outlineLevel="0" collapsed="false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customFormat="false" ht="15.75" hidden="false" customHeight="true" outlineLevel="0" collapsed="false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customFormat="false" ht="15.75" hidden="false" customHeight="tru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customFormat="false" ht="15.75" hidden="false" customHeight="true" outlineLevel="0" collapsed="false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customFormat="false" ht="15.75" hidden="false" customHeight="true" outlineLevel="0" collapsed="false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customFormat="false" ht="15.75" hidden="false" customHeight="true" outlineLevel="0" collapsed="false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customFormat="false" ht="15.75" hidden="false" customHeight="true" outlineLevel="0" collapsed="false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customFormat="false" ht="15.75" hidden="false" customHeight="true" outlineLevel="0" collapsed="false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customFormat="false" ht="15.75" hidden="false" customHeight="true" outlineLevel="0" collapsed="false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customFormat="false" ht="15.75" hidden="false" customHeight="true" outlineLevel="0" collapsed="false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customFormat="false" ht="15.75" hidden="false" customHeight="true" outlineLevel="0" collapsed="false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customFormat="false" ht="15.75" hidden="false" customHeight="true" outlineLevel="0" collapsed="false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customFormat="false" ht="15.75" hidden="false" customHeight="true" outlineLevel="0" collapsed="false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customFormat="false" ht="15.75" hidden="false" customHeight="true" outlineLevel="0" collapsed="false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customFormat="false" ht="15.75" hidden="false" customHeight="true" outlineLevel="0" collapsed="false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customFormat="false" ht="15.75" hidden="false" customHeight="true" outlineLevel="0" collapsed="false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customFormat="false" ht="15.75" hidden="false" customHeight="true" outlineLevel="0" collapsed="false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customFormat="false" ht="15.75" hidden="false" customHeight="true" outlineLevel="0" collapsed="false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customFormat="false" ht="15.75" hidden="false" customHeight="true" outlineLevel="0" collapsed="false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customFormat="false" ht="15.75" hidden="false" customHeight="true" outlineLevel="0" collapsed="false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customFormat="false" ht="15.75" hidden="false" customHeight="true" outlineLevel="0" collapsed="false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customFormat="false" ht="15.75" hidden="false" customHeight="true" outlineLevel="0" collapsed="false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customFormat="false" ht="15.75" hidden="false" customHeight="true" outlineLevel="0" collapsed="false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customFormat="false" ht="15.75" hidden="false" customHeight="true" outlineLevel="0" collapsed="false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customFormat="false" ht="15.75" hidden="false" customHeight="true" outlineLevel="0" collapsed="false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customFormat="false" ht="15.75" hidden="false" customHeight="true" outlineLevel="0" collapsed="false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customFormat="false" ht="15.75" hidden="false" customHeight="true" outlineLevel="0" collapsed="false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customFormat="false" ht="15.75" hidden="false" customHeight="true" outlineLevel="0" collapsed="false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customFormat="false" ht="15.75" hidden="false" customHeight="true" outlineLevel="0" collapsed="false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customFormat="false" ht="15.75" hidden="false" customHeight="true" outlineLevel="0" collapsed="false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customFormat="false" ht="15.75" hidden="false" customHeight="true" outlineLevel="0" collapsed="false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customFormat="false" ht="15.75" hidden="false" customHeight="true" outlineLevel="0" collapsed="false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customFormat="false" ht="15.75" hidden="false" customHeight="true" outlineLevel="0" collapsed="false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customFormat="false" ht="15.75" hidden="false" customHeight="true" outlineLevel="0" collapsed="false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customFormat="false" ht="15.75" hidden="false" customHeight="true" outlineLevel="0" collapsed="false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customFormat="false" ht="15.75" hidden="false" customHeight="true" outlineLevel="0" collapsed="false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customFormat="false" ht="15.75" hidden="false" customHeight="true" outlineLevel="0" collapsed="false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customFormat="false" ht="15.75" hidden="false" customHeight="true" outlineLevel="0" collapsed="false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customFormat="false" ht="15.75" hidden="false" customHeight="true" outlineLevel="0" collapsed="false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customFormat="false" ht="15.75" hidden="false" customHeight="true" outlineLevel="0" collapsed="false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customFormat="false" ht="15.75" hidden="false" customHeight="true" outlineLevel="0" collapsed="false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customFormat="false" ht="15.75" hidden="false" customHeight="true" outlineLevel="0" collapsed="false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customFormat="false" ht="15.75" hidden="false" customHeight="true" outlineLevel="0" collapsed="false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customFormat="false" ht="15.75" hidden="false" customHeight="true" outlineLevel="0" collapsed="false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customFormat="false" ht="15.75" hidden="false" customHeight="true" outlineLevel="0" collapsed="false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customFormat="false" ht="15.75" hidden="false" customHeight="true" outlineLevel="0" collapsed="false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customFormat="false" ht="15.75" hidden="false" customHeight="true" outlineLevel="0" collapsed="false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customFormat="false" ht="15.75" hidden="false" customHeight="true" outlineLevel="0" collapsed="false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customFormat="false" ht="15.75" hidden="false" customHeight="true" outlineLevel="0" collapsed="false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customFormat="false" ht="15.75" hidden="false" customHeight="true" outlineLevel="0" collapsed="false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customFormat="false" ht="15.75" hidden="false" customHeight="true" outlineLevel="0" collapsed="false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customFormat="false" ht="15.75" hidden="false" customHeight="true" outlineLevel="0" collapsed="false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customFormat="false" ht="15.75" hidden="false" customHeight="true" outlineLevel="0" collapsed="false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customFormat="false" ht="15.75" hidden="false" customHeight="true" outlineLevel="0" collapsed="false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customFormat="false" ht="15.75" hidden="false" customHeight="true" outlineLevel="0" collapsed="false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customFormat="false" ht="15.75" hidden="false" customHeight="true" outlineLevel="0" collapsed="false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customFormat="false" ht="15.75" hidden="false" customHeight="true" outlineLevel="0" collapsed="false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customFormat="false" ht="15.75" hidden="false" customHeight="true" outlineLevel="0" collapsed="false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customFormat="false" ht="15.75" hidden="false" customHeight="true" outlineLevel="0" collapsed="false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customFormat="false" ht="15.75" hidden="false" customHeight="true" outlineLevel="0" collapsed="false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customFormat="false" ht="15.75" hidden="false" customHeight="true" outlineLevel="0" collapsed="false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customFormat="false" ht="15.75" hidden="false" customHeight="true" outlineLevel="0" collapsed="false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customFormat="false" ht="15.75" hidden="false" customHeight="true" outlineLevel="0" collapsed="false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customFormat="false" ht="15.75" hidden="false" customHeight="true" outlineLevel="0" collapsed="false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customFormat="false" ht="15.75" hidden="false" customHeight="true" outlineLevel="0" collapsed="false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customFormat="false" ht="15.75" hidden="false" customHeight="true" outlineLevel="0" collapsed="false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customFormat="false" ht="15.75" hidden="false" customHeight="true" outlineLevel="0" collapsed="false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customFormat="false" ht="15.75" hidden="false" customHeight="true" outlineLevel="0" collapsed="false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customFormat="false" ht="15.75" hidden="false" customHeight="true" outlineLevel="0" collapsed="false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customFormat="false" ht="15.75" hidden="false" customHeight="true" outlineLevel="0" collapsed="false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customFormat="false" ht="15.75" hidden="false" customHeight="true" outlineLevel="0" collapsed="false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customFormat="false" ht="15.75" hidden="false" customHeight="true" outlineLevel="0" collapsed="false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customFormat="false" ht="15.75" hidden="false" customHeight="true" outlineLevel="0" collapsed="false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customFormat="false" ht="15.75" hidden="false" customHeight="true" outlineLevel="0" collapsed="false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customFormat="false" ht="15.75" hidden="false" customHeight="true" outlineLevel="0" collapsed="false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customFormat="false" ht="15.75" hidden="false" customHeight="true" outlineLevel="0" collapsed="false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customFormat="false" ht="15.75" hidden="false" customHeight="true" outlineLevel="0" collapsed="false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customFormat="false" ht="15.75" hidden="false" customHeight="true" outlineLevel="0" collapsed="false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customFormat="false" ht="15.75" hidden="false" customHeight="true" outlineLevel="0" collapsed="false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customFormat="false" ht="15.75" hidden="false" customHeight="true" outlineLevel="0" collapsed="false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customFormat="false" ht="15.75" hidden="false" customHeight="true" outlineLevel="0" collapsed="false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customFormat="false" ht="15.75" hidden="false" customHeight="true" outlineLevel="0" collapsed="false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customFormat="false" ht="15.75" hidden="false" customHeight="true" outlineLevel="0" collapsed="false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customFormat="false" ht="15.75" hidden="false" customHeight="true" outlineLevel="0" collapsed="false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customFormat="false" ht="15.75" hidden="false" customHeight="true" outlineLevel="0" collapsed="false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customFormat="false" ht="15.75" hidden="false" customHeight="true" outlineLevel="0" collapsed="false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customFormat="false" ht="15.75" hidden="false" customHeight="true" outlineLevel="0" collapsed="false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customFormat="false" ht="15.75" hidden="false" customHeight="true" outlineLevel="0" collapsed="false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customFormat="false" ht="15.75" hidden="false" customHeight="true" outlineLevel="0" collapsed="false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customFormat="false" ht="15.75" hidden="false" customHeight="true" outlineLevel="0" collapsed="false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customFormat="false" ht="15.75" hidden="false" customHeight="true" outlineLevel="0" collapsed="false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customFormat="false" ht="15.75" hidden="false" customHeight="true" outlineLevel="0" collapsed="false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customFormat="false" ht="15.75" hidden="false" customHeight="true" outlineLevel="0" collapsed="false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customFormat="false" ht="15.75" hidden="false" customHeight="true" outlineLevel="0" collapsed="false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customFormat="false" ht="15.75" hidden="false" customHeight="true" outlineLevel="0" collapsed="false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customFormat="false" ht="15.75" hidden="false" customHeight="true" outlineLevel="0" collapsed="false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customFormat="false" ht="15.75" hidden="false" customHeight="true" outlineLevel="0" collapsed="false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customFormat="false" ht="15.75" hidden="false" customHeight="true" outlineLevel="0" collapsed="false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customFormat="false" ht="15.75" hidden="false" customHeight="true" outlineLevel="0" collapsed="false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customFormat="false" ht="15.75" hidden="false" customHeight="true" outlineLevel="0" collapsed="false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customFormat="false" ht="15.75" hidden="false" customHeight="true" outlineLevel="0" collapsed="false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customFormat="false" ht="15.75" hidden="false" customHeight="true" outlineLevel="0" collapsed="false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customFormat="false" ht="15.75" hidden="false" customHeight="true" outlineLevel="0" collapsed="false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customFormat="false" ht="15.75" hidden="false" customHeight="true" outlineLevel="0" collapsed="false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customFormat="false" ht="15.75" hidden="false" customHeight="true" outlineLevel="0" collapsed="false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customFormat="false" ht="15.75" hidden="false" customHeight="true" outlineLevel="0" collapsed="false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customFormat="false" ht="15.75" hidden="false" customHeight="true" outlineLevel="0" collapsed="false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customFormat="false" ht="15.75" hidden="false" customHeight="true" outlineLevel="0" collapsed="false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customFormat="false" ht="15.75" hidden="false" customHeight="true" outlineLevel="0" collapsed="false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customFormat="false" ht="15.75" hidden="false" customHeight="true" outlineLevel="0" collapsed="false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customFormat="false" ht="15.75" hidden="false" customHeight="true" outlineLevel="0" collapsed="false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customFormat="false" ht="15.75" hidden="false" customHeight="true" outlineLevel="0" collapsed="false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customFormat="false" ht="15.75" hidden="false" customHeight="true" outlineLevel="0" collapsed="false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customFormat="false" ht="15.75" hidden="false" customHeight="true" outlineLevel="0" collapsed="false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customFormat="false" ht="15.75" hidden="false" customHeight="true" outlineLevel="0" collapsed="false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customFormat="false" ht="15.75" hidden="false" customHeight="true" outlineLevel="0" collapsed="false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customFormat="false" ht="15.75" hidden="false" customHeight="true" outlineLevel="0" collapsed="false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customFormat="false" ht="15.75" hidden="false" customHeight="true" outlineLevel="0" collapsed="false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customFormat="false" ht="15.75" hidden="false" customHeight="true" outlineLevel="0" collapsed="false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customFormat="false" ht="15.75" hidden="false" customHeight="true" outlineLevel="0" collapsed="false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customFormat="false" ht="15.75" hidden="false" customHeight="true" outlineLevel="0" collapsed="false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customFormat="false" ht="15.75" hidden="false" customHeight="true" outlineLevel="0" collapsed="false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customFormat="false" ht="15.75" hidden="false" customHeight="true" outlineLevel="0" collapsed="false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customFormat="false" ht="15.75" hidden="false" customHeight="true" outlineLevel="0" collapsed="false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customFormat="false" ht="15.75" hidden="false" customHeight="true" outlineLevel="0" collapsed="false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customFormat="false" ht="15.75" hidden="false" customHeight="true" outlineLevel="0" collapsed="false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customFormat="false" ht="15.75" hidden="false" customHeight="true" outlineLevel="0" collapsed="false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customFormat="false" ht="15.75" hidden="false" customHeight="true" outlineLevel="0" collapsed="false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customFormat="false" ht="15.75" hidden="false" customHeight="true" outlineLevel="0" collapsed="false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customFormat="false" ht="15.75" hidden="false" customHeight="true" outlineLevel="0" collapsed="false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customFormat="false" ht="15.75" hidden="false" customHeight="true" outlineLevel="0" collapsed="false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customFormat="false" ht="15.75" hidden="false" customHeight="true" outlineLevel="0" collapsed="false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customFormat="false" ht="15.75" hidden="false" customHeight="true" outlineLevel="0" collapsed="false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customFormat="false" ht="15.75" hidden="false" customHeight="true" outlineLevel="0" collapsed="false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customFormat="false" ht="15.75" hidden="false" customHeight="true" outlineLevel="0" collapsed="false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customFormat="false" ht="15.75" hidden="false" customHeight="true" outlineLevel="0" collapsed="false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customFormat="false" ht="15.75" hidden="false" customHeight="true" outlineLevel="0" collapsed="false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customFormat="false" ht="15.75" hidden="false" customHeight="true" outlineLevel="0" collapsed="false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customFormat="false" ht="15.75" hidden="false" customHeight="true" outlineLevel="0" collapsed="false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customFormat="false" ht="15.75" hidden="false" customHeight="true" outlineLevel="0" collapsed="false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customFormat="false" ht="15.75" hidden="false" customHeight="true" outlineLevel="0" collapsed="false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customFormat="false" ht="15.75" hidden="false" customHeight="true" outlineLevel="0" collapsed="false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customFormat="false" ht="15.75" hidden="false" customHeight="true" outlineLevel="0" collapsed="false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customFormat="false" ht="15.75" hidden="false" customHeight="true" outlineLevel="0" collapsed="false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customFormat="false" ht="15.75" hidden="false" customHeight="true" outlineLevel="0" collapsed="false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customFormat="false" ht="15.75" hidden="false" customHeight="true" outlineLevel="0" collapsed="false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customFormat="false" ht="15.75" hidden="false" customHeight="true" outlineLevel="0" collapsed="false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customFormat="false" ht="15.75" hidden="false" customHeight="true" outlineLevel="0" collapsed="false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customFormat="false" ht="15.75" hidden="false" customHeight="true" outlineLevel="0" collapsed="false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customFormat="false" ht="15.75" hidden="false" customHeight="true" outlineLevel="0" collapsed="false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customFormat="false" ht="15.75" hidden="false" customHeight="true" outlineLevel="0" collapsed="false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customFormat="false" ht="15.75" hidden="false" customHeight="true" outlineLevel="0" collapsed="false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customFormat="false" ht="15.75" hidden="false" customHeight="true" outlineLevel="0" collapsed="false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customFormat="false" ht="15.75" hidden="false" customHeight="true" outlineLevel="0" collapsed="false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customFormat="false" ht="15.75" hidden="false" customHeight="true" outlineLevel="0" collapsed="false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customFormat="false" ht="15.75" hidden="false" customHeight="true" outlineLevel="0" collapsed="false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customFormat="false" ht="15.75" hidden="false" customHeight="true" outlineLevel="0" collapsed="false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customFormat="false" ht="15.75" hidden="false" customHeight="true" outlineLevel="0" collapsed="false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customFormat="false" ht="15.75" hidden="false" customHeight="true" outlineLevel="0" collapsed="false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customFormat="false" ht="15.75" hidden="false" customHeight="true" outlineLevel="0" collapsed="false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customFormat="false" ht="15.75" hidden="false" customHeight="true" outlineLevel="0" collapsed="false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customFormat="false" ht="15.75" hidden="false" customHeight="true" outlineLevel="0" collapsed="false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customFormat="false" ht="15.75" hidden="false" customHeight="true" outlineLevel="0" collapsed="false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customFormat="false" ht="15.75" hidden="false" customHeight="true" outlineLevel="0" collapsed="false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customFormat="false" ht="15.75" hidden="false" customHeight="true" outlineLevel="0" collapsed="false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customFormat="false" ht="15.75" hidden="false" customHeight="true" outlineLevel="0" collapsed="false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customFormat="false" ht="15.75" hidden="false" customHeight="true" outlineLevel="0" collapsed="false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customFormat="false" ht="15.75" hidden="false" customHeight="true" outlineLevel="0" collapsed="false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customFormat="false" ht="15.75" hidden="false" customHeight="true" outlineLevel="0" collapsed="false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customFormat="false" ht="15.75" hidden="false" customHeight="true" outlineLevel="0" collapsed="false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customFormat="false" ht="15.75" hidden="false" customHeight="true" outlineLevel="0" collapsed="false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customFormat="false" ht="15.75" hidden="false" customHeight="true" outlineLevel="0" collapsed="false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customFormat="false" ht="15.75" hidden="false" customHeight="true" outlineLevel="0" collapsed="false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customFormat="false" ht="15.75" hidden="false" customHeight="true" outlineLevel="0" collapsed="false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customFormat="false" ht="15.75" hidden="false" customHeight="true" outlineLevel="0" collapsed="false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customFormat="false" ht="15.75" hidden="false" customHeight="true" outlineLevel="0" collapsed="false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customFormat="false" ht="15.75" hidden="false" customHeight="true" outlineLevel="0" collapsed="false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customFormat="false" ht="15.75" hidden="false" customHeight="true" outlineLevel="0" collapsed="false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customFormat="false" ht="15.75" hidden="false" customHeight="true" outlineLevel="0" collapsed="false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customFormat="false" ht="15.75" hidden="false" customHeight="true" outlineLevel="0" collapsed="false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customFormat="false" ht="15.75" hidden="false" customHeight="true" outlineLevel="0" collapsed="false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customFormat="false" ht="15.75" hidden="false" customHeight="true" outlineLevel="0" collapsed="false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customFormat="false" ht="15.75" hidden="false" customHeight="true" outlineLevel="0" collapsed="false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customFormat="false" ht="15.75" hidden="false" customHeight="true" outlineLevel="0" collapsed="false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customFormat="false" ht="15.75" hidden="false" customHeight="true" outlineLevel="0" collapsed="false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customFormat="false" ht="15.75" hidden="false" customHeight="true" outlineLevel="0" collapsed="false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customFormat="false" ht="15.75" hidden="false" customHeight="true" outlineLevel="0" collapsed="false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customFormat="false" ht="15.75" hidden="false" customHeight="true" outlineLevel="0" collapsed="false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customFormat="false" ht="15.75" hidden="false" customHeight="true" outlineLevel="0" collapsed="false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customFormat="false" ht="15.75" hidden="false" customHeight="true" outlineLevel="0" collapsed="false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customFormat="false" ht="15.75" hidden="false" customHeight="true" outlineLevel="0" collapsed="false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customFormat="false" ht="15.75" hidden="false" customHeight="true" outlineLevel="0" collapsed="false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customFormat="false" ht="15.75" hidden="false" customHeight="true" outlineLevel="0" collapsed="false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customFormat="false" ht="15.75" hidden="false" customHeight="true" outlineLevel="0" collapsed="false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customFormat="false" ht="15.75" hidden="false" customHeight="true" outlineLevel="0" collapsed="false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customFormat="false" ht="15.75" hidden="false" customHeight="true" outlineLevel="0" collapsed="false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customFormat="false" ht="15.75" hidden="false" customHeight="true" outlineLevel="0" collapsed="false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customFormat="false" ht="15.75" hidden="false" customHeight="true" outlineLevel="0" collapsed="false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customFormat="false" ht="15.75" hidden="false" customHeight="true" outlineLevel="0" collapsed="false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customFormat="false" ht="15.75" hidden="false" customHeight="true" outlineLevel="0" collapsed="false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customFormat="false" ht="15.75" hidden="false" customHeight="true" outlineLevel="0" collapsed="false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customFormat="false" ht="15.75" hidden="false" customHeight="true" outlineLevel="0" collapsed="false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customFormat="false" ht="15.75" hidden="false" customHeight="true" outlineLevel="0" collapsed="false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customFormat="false" ht="15.75" hidden="false" customHeight="true" outlineLevel="0" collapsed="false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customFormat="false" ht="15.75" hidden="false" customHeight="true" outlineLevel="0" collapsed="false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customFormat="false" ht="15.75" hidden="false" customHeight="true" outlineLevel="0" collapsed="false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customFormat="false" ht="15.75" hidden="false" customHeight="true" outlineLevel="0" collapsed="false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customFormat="false" ht="15.75" hidden="false" customHeight="true" outlineLevel="0" collapsed="false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customFormat="false" ht="15.75" hidden="false" customHeight="true" outlineLevel="0" collapsed="false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customFormat="false" ht="15.75" hidden="false" customHeight="true" outlineLevel="0" collapsed="false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customFormat="false" ht="15.75" hidden="false" customHeight="true" outlineLevel="0" collapsed="false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customFormat="false" ht="15.75" hidden="false" customHeight="true" outlineLevel="0" collapsed="false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customFormat="false" ht="15.75" hidden="false" customHeight="true" outlineLevel="0" collapsed="false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customFormat="false" ht="15.75" hidden="false" customHeight="true" outlineLevel="0" collapsed="false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customFormat="false" ht="15.75" hidden="false" customHeight="true" outlineLevel="0" collapsed="false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customFormat="false" ht="15.75" hidden="false" customHeight="true" outlineLevel="0" collapsed="false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customFormat="false" ht="15.75" hidden="false" customHeight="true" outlineLevel="0" collapsed="false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customFormat="false" ht="15.75" hidden="false" customHeight="true" outlineLevel="0" collapsed="false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customFormat="false" ht="15.75" hidden="false" customHeight="true" outlineLevel="0" collapsed="false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customFormat="false" ht="15.75" hidden="false" customHeight="true" outlineLevel="0" collapsed="false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customFormat="false" ht="15.75" hidden="false" customHeight="true" outlineLevel="0" collapsed="false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customFormat="false" ht="15.75" hidden="false" customHeight="true" outlineLevel="0" collapsed="false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customFormat="false" ht="15.75" hidden="false" customHeight="true" outlineLevel="0" collapsed="false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customFormat="false" ht="15.75" hidden="false" customHeight="true" outlineLevel="0" collapsed="false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customFormat="false" ht="15.75" hidden="false" customHeight="true" outlineLevel="0" collapsed="false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customFormat="false" ht="15.75" hidden="false" customHeight="true" outlineLevel="0" collapsed="false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customFormat="false" ht="15.75" hidden="false" customHeight="true" outlineLevel="0" collapsed="false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customFormat="false" ht="15.75" hidden="false" customHeight="true" outlineLevel="0" collapsed="false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customFormat="false" ht="15.75" hidden="false" customHeight="true" outlineLevel="0" collapsed="false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customFormat="false" ht="15.75" hidden="false" customHeight="true" outlineLevel="0" collapsed="false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customFormat="false" ht="15.75" hidden="false" customHeight="true" outlineLevel="0" collapsed="false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customFormat="false" ht="15.75" hidden="false" customHeight="true" outlineLevel="0" collapsed="false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customFormat="false" ht="15.75" hidden="false" customHeight="true" outlineLevel="0" collapsed="false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customFormat="false" ht="15.75" hidden="false" customHeight="true" outlineLevel="0" collapsed="false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customFormat="false" ht="15.75" hidden="false" customHeight="true" outlineLevel="0" collapsed="false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customFormat="false" ht="15.75" hidden="false" customHeight="true" outlineLevel="0" collapsed="false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customFormat="false" ht="15.75" hidden="false" customHeight="true" outlineLevel="0" collapsed="false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customFormat="false" ht="15.75" hidden="false" customHeight="true" outlineLevel="0" collapsed="false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customFormat="false" ht="15.75" hidden="false" customHeight="true" outlineLevel="0" collapsed="false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customFormat="false" ht="15.75" hidden="false" customHeight="true" outlineLevel="0" collapsed="false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customFormat="false" ht="15.75" hidden="false" customHeight="true" outlineLevel="0" collapsed="false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customFormat="false" ht="15.75" hidden="false" customHeight="true" outlineLevel="0" collapsed="false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customFormat="false" ht="15.75" hidden="false" customHeight="true" outlineLevel="0" collapsed="false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customFormat="false" ht="15.75" hidden="false" customHeight="true" outlineLevel="0" collapsed="false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customFormat="false" ht="15.75" hidden="false" customHeight="true" outlineLevel="0" collapsed="false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customFormat="false" ht="15.75" hidden="false" customHeight="true" outlineLevel="0" collapsed="false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customFormat="false" ht="15.75" hidden="false" customHeight="true" outlineLevel="0" collapsed="false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customFormat="false" ht="15.75" hidden="false" customHeight="true" outlineLevel="0" collapsed="false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customFormat="false" ht="15.75" hidden="false" customHeight="true" outlineLevel="0" collapsed="false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customFormat="false" ht="15.75" hidden="false" customHeight="true" outlineLevel="0" collapsed="false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customFormat="false" ht="15.75" hidden="false" customHeight="true" outlineLevel="0" collapsed="false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customFormat="false" ht="15.75" hidden="false" customHeight="true" outlineLevel="0" collapsed="false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customFormat="false" ht="15.75" hidden="false" customHeight="true" outlineLevel="0" collapsed="false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customFormat="false" ht="15.75" hidden="false" customHeight="true" outlineLevel="0" collapsed="false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customFormat="false" ht="15.75" hidden="false" customHeight="true" outlineLevel="0" collapsed="false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customFormat="false" ht="15.75" hidden="false" customHeight="true" outlineLevel="0" collapsed="false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customFormat="false" ht="15.75" hidden="false" customHeight="true" outlineLevel="0" collapsed="false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customFormat="false" ht="15.75" hidden="false" customHeight="true" outlineLevel="0" collapsed="false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customFormat="false" ht="15.75" hidden="false" customHeight="true" outlineLevel="0" collapsed="false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customFormat="false" ht="15.75" hidden="false" customHeight="true" outlineLevel="0" collapsed="false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customFormat="false" ht="15.75" hidden="false" customHeight="true" outlineLevel="0" collapsed="false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customFormat="false" ht="15.75" hidden="false" customHeight="true" outlineLevel="0" collapsed="false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customFormat="false" ht="15.75" hidden="false" customHeight="true" outlineLevel="0" collapsed="false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customFormat="false" ht="15.75" hidden="false" customHeight="true" outlineLevel="0" collapsed="false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customFormat="false" ht="15.75" hidden="false" customHeight="true" outlineLevel="0" collapsed="false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customFormat="false" ht="15.75" hidden="false" customHeight="true" outlineLevel="0" collapsed="false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customFormat="false" ht="15.75" hidden="false" customHeight="true" outlineLevel="0" collapsed="false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customFormat="false" ht="15.75" hidden="false" customHeight="true" outlineLevel="0" collapsed="false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customFormat="false" ht="15.75" hidden="false" customHeight="true" outlineLevel="0" collapsed="false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customFormat="false" ht="15.75" hidden="false" customHeight="true" outlineLevel="0" collapsed="false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customFormat="false" ht="15.75" hidden="false" customHeight="true" outlineLevel="0" collapsed="false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customFormat="false" ht="15.75" hidden="false" customHeight="true" outlineLevel="0" collapsed="false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customFormat="false" ht="15.75" hidden="false" customHeight="true" outlineLevel="0" collapsed="false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customFormat="false" ht="15.75" hidden="false" customHeight="true" outlineLevel="0" collapsed="false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customFormat="false" ht="15.75" hidden="false" customHeight="true" outlineLevel="0" collapsed="false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customFormat="false" ht="15.75" hidden="false" customHeight="true" outlineLevel="0" collapsed="false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customFormat="false" ht="15.75" hidden="false" customHeight="true" outlineLevel="0" collapsed="false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customFormat="false" ht="15.75" hidden="false" customHeight="true" outlineLevel="0" collapsed="false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customFormat="false" ht="15.75" hidden="false" customHeight="true" outlineLevel="0" collapsed="false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customFormat="false" ht="15.75" hidden="false" customHeight="true" outlineLevel="0" collapsed="false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customFormat="false" ht="15.75" hidden="false" customHeight="true" outlineLevel="0" collapsed="false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customFormat="false" ht="15.75" hidden="false" customHeight="true" outlineLevel="0" collapsed="false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customFormat="false" ht="15.75" hidden="false" customHeight="true" outlineLevel="0" collapsed="false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customFormat="false" ht="15.75" hidden="false" customHeight="true" outlineLevel="0" collapsed="false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customFormat="false" ht="15.75" hidden="false" customHeight="true" outlineLevel="0" collapsed="false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customFormat="false" ht="15.75" hidden="false" customHeight="true" outlineLevel="0" collapsed="false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customFormat="false" ht="15.75" hidden="false" customHeight="true" outlineLevel="0" collapsed="false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customFormat="false" ht="15.75" hidden="false" customHeight="true" outlineLevel="0" collapsed="false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customFormat="false" ht="15.75" hidden="false" customHeight="true" outlineLevel="0" collapsed="false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customFormat="false" ht="15.75" hidden="false" customHeight="true" outlineLevel="0" collapsed="false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customFormat="false" ht="15.75" hidden="false" customHeight="true" outlineLevel="0" collapsed="false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customFormat="false" ht="15.75" hidden="false" customHeight="true" outlineLevel="0" collapsed="false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customFormat="false" ht="15.75" hidden="false" customHeight="true" outlineLevel="0" collapsed="false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customFormat="false" ht="15.75" hidden="false" customHeight="true" outlineLevel="0" collapsed="false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customFormat="false" ht="15.75" hidden="false" customHeight="true" outlineLevel="0" collapsed="false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customFormat="false" ht="15.75" hidden="false" customHeight="true" outlineLevel="0" collapsed="false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customFormat="false" ht="15.75" hidden="false" customHeight="true" outlineLevel="0" collapsed="false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customFormat="false" ht="15.75" hidden="false" customHeight="true" outlineLevel="0" collapsed="false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customFormat="false" ht="15.75" hidden="false" customHeight="true" outlineLevel="0" collapsed="false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customFormat="false" ht="15.75" hidden="false" customHeight="true" outlineLevel="0" collapsed="false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customFormat="false" ht="15.75" hidden="false" customHeight="true" outlineLevel="0" collapsed="false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customFormat="false" ht="15.75" hidden="false" customHeight="true" outlineLevel="0" collapsed="false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customFormat="false" ht="15.75" hidden="false" customHeight="true" outlineLevel="0" collapsed="false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customFormat="false" ht="15.75" hidden="false" customHeight="true" outlineLevel="0" collapsed="false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customFormat="false" ht="15.75" hidden="false" customHeight="true" outlineLevel="0" collapsed="false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customFormat="false" ht="15.75" hidden="false" customHeight="true" outlineLevel="0" collapsed="false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customFormat="false" ht="15.75" hidden="false" customHeight="true" outlineLevel="0" collapsed="false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customFormat="false" ht="15.75" hidden="false" customHeight="true" outlineLevel="0" collapsed="false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customFormat="false" ht="15.75" hidden="false" customHeight="true" outlineLevel="0" collapsed="false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customFormat="false" ht="15.75" hidden="false" customHeight="true" outlineLevel="0" collapsed="false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customFormat="false" ht="15.75" hidden="false" customHeight="true" outlineLevel="0" collapsed="false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customFormat="false" ht="15.75" hidden="false" customHeight="true" outlineLevel="0" collapsed="false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customFormat="false" ht="15.75" hidden="false" customHeight="true" outlineLevel="0" collapsed="false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customFormat="false" ht="15.75" hidden="false" customHeight="true" outlineLevel="0" collapsed="false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customFormat="false" ht="15.75" hidden="false" customHeight="true" outlineLevel="0" collapsed="false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customFormat="false" ht="15.75" hidden="false" customHeight="true" outlineLevel="0" collapsed="false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customFormat="false" ht="15.75" hidden="false" customHeight="true" outlineLevel="0" collapsed="false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customFormat="false" ht="15.75" hidden="false" customHeight="true" outlineLevel="0" collapsed="false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customFormat="false" ht="15.75" hidden="false" customHeight="true" outlineLevel="0" collapsed="false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customFormat="false" ht="15.75" hidden="false" customHeight="true" outlineLevel="0" collapsed="false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customFormat="false" ht="15.75" hidden="false" customHeight="true" outlineLevel="0" collapsed="false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customFormat="false" ht="15.75" hidden="false" customHeight="true" outlineLevel="0" collapsed="false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customFormat="false" ht="15.75" hidden="false" customHeight="true" outlineLevel="0" collapsed="false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customFormat="false" ht="15.75" hidden="false" customHeight="true" outlineLevel="0" collapsed="false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customFormat="false" ht="15.75" hidden="false" customHeight="true" outlineLevel="0" collapsed="false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customFormat="false" ht="15.75" hidden="false" customHeight="true" outlineLevel="0" collapsed="false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customFormat="false" ht="15.75" hidden="false" customHeight="true" outlineLevel="0" collapsed="false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customFormat="false" ht="15.75" hidden="false" customHeight="true" outlineLevel="0" collapsed="false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customFormat="false" ht="15.75" hidden="false" customHeight="true" outlineLevel="0" collapsed="false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customFormat="false" ht="15.75" hidden="false" customHeight="true" outlineLevel="0" collapsed="false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customFormat="false" ht="15.75" hidden="false" customHeight="true" outlineLevel="0" collapsed="false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customFormat="false" ht="15.75" hidden="false" customHeight="true" outlineLevel="0" collapsed="false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customFormat="false" ht="15.75" hidden="false" customHeight="true" outlineLevel="0" collapsed="false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customFormat="false" ht="15.75" hidden="false" customHeight="true" outlineLevel="0" collapsed="false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customFormat="false" ht="15.75" hidden="false" customHeight="true" outlineLevel="0" collapsed="false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customFormat="false" ht="15.75" hidden="false" customHeight="true" outlineLevel="0" collapsed="false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customFormat="false" ht="15.75" hidden="false" customHeight="true" outlineLevel="0" collapsed="false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customFormat="false" ht="15.75" hidden="false" customHeight="true" outlineLevel="0" collapsed="false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customFormat="false" ht="15.75" hidden="false" customHeight="true" outlineLevel="0" collapsed="false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customFormat="false" ht="15.75" hidden="false" customHeight="true" outlineLevel="0" collapsed="false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customFormat="false" ht="15.75" hidden="false" customHeight="true" outlineLevel="0" collapsed="false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customFormat="false" ht="15.75" hidden="false" customHeight="true" outlineLevel="0" collapsed="false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customFormat="false" ht="15.75" hidden="false" customHeight="true" outlineLevel="0" collapsed="false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customFormat="false" ht="15.75" hidden="false" customHeight="true" outlineLevel="0" collapsed="false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customFormat="false" ht="15.75" hidden="false" customHeight="true" outlineLevel="0" collapsed="false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customFormat="false" ht="15.75" hidden="false" customHeight="true" outlineLevel="0" collapsed="false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customFormat="false" ht="15.75" hidden="false" customHeight="true" outlineLevel="0" collapsed="false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customFormat="false" ht="15.75" hidden="false" customHeight="true" outlineLevel="0" collapsed="false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customFormat="false" ht="15.75" hidden="false" customHeight="true" outlineLevel="0" collapsed="false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customFormat="false" ht="15.75" hidden="false" customHeight="true" outlineLevel="0" collapsed="false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customFormat="false" ht="15.75" hidden="false" customHeight="true" outlineLevel="0" collapsed="false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customFormat="false" ht="15.75" hidden="false" customHeight="true" outlineLevel="0" collapsed="false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customFormat="false" ht="15.75" hidden="false" customHeight="true" outlineLevel="0" collapsed="false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customFormat="false" ht="15.75" hidden="false" customHeight="true" outlineLevel="0" collapsed="false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customFormat="false" ht="15.75" hidden="false" customHeight="true" outlineLevel="0" collapsed="false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customFormat="false" ht="15.75" hidden="false" customHeight="true" outlineLevel="0" collapsed="false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customFormat="false" ht="15.75" hidden="false" customHeight="true" outlineLevel="0" collapsed="false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customFormat="false" ht="15.75" hidden="false" customHeight="true" outlineLevel="0" collapsed="false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customFormat="false" ht="15.75" hidden="false" customHeight="true" outlineLevel="0" collapsed="false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customFormat="false" ht="15.75" hidden="false" customHeight="true" outlineLevel="0" collapsed="false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customFormat="false" ht="15.75" hidden="false" customHeight="true" outlineLevel="0" collapsed="false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customFormat="false" ht="15.75" hidden="false" customHeight="true" outlineLevel="0" collapsed="false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customFormat="false" ht="15.75" hidden="false" customHeight="true" outlineLevel="0" collapsed="false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customFormat="false" ht="15.75" hidden="false" customHeight="true" outlineLevel="0" collapsed="false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customFormat="false" ht="15.75" hidden="false" customHeight="true" outlineLevel="0" collapsed="false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customFormat="false" ht="15.75" hidden="false" customHeight="true" outlineLevel="0" collapsed="false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customFormat="false" ht="15.75" hidden="false" customHeight="true" outlineLevel="0" collapsed="false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customFormat="false" ht="15.75" hidden="false" customHeight="true" outlineLevel="0" collapsed="false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customFormat="false" ht="15.75" hidden="false" customHeight="true" outlineLevel="0" collapsed="false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customFormat="false" ht="15.75" hidden="false" customHeight="true" outlineLevel="0" collapsed="false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customFormat="false" ht="15.75" hidden="false" customHeight="true" outlineLevel="0" collapsed="false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customFormat="false" ht="15.75" hidden="false" customHeight="true" outlineLevel="0" collapsed="false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customFormat="false" ht="15.75" hidden="false" customHeight="true" outlineLevel="0" collapsed="false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customFormat="false" ht="15.75" hidden="false" customHeight="true" outlineLevel="0" collapsed="false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customFormat="false" ht="15.75" hidden="false" customHeight="true" outlineLevel="0" collapsed="false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customFormat="false" ht="15.75" hidden="false" customHeight="true" outlineLevel="0" collapsed="false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customFormat="false" ht="15.75" hidden="false" customHeight="true" outlineLevel="0" collapsed="false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customFormat="false" ht="15.75" hidden="false" customHeight="true" outlineLevel="0" collapsed="false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customFormat="false" ht="15.75" hidden="false" customHeight="true" outlineLevel="0" collapsed="false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customFormat="false" ht="15.75" hidden="false" customHeight="true" outlineLevel="0" collapsed="false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customFormat="false" ht="15.75" hidden="false" customHeight="true" outlineLevel="0" collapsed="false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customFormat="false" ht="15.75" hidden="false" customHeight="true" outlineLevel="0" collapsed="false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customFormat="false" ht="15.75" hidden="false" customHeight="true" outlineLevel="0" collapsed="false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customFormat="false" ht="15.75" hidden="false" customHeight="true" outlineLevel="0" collapsed="false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customFormat="false" ht="15.75" hidden="false" customHeight="true" outlineLevel="0" collapsed="false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customFormat="false" ht="15.75" hidden="false" customHeight="true" outlineLevel="0" collapsed="false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customFormat="false" ht="15.75" hidden="false" customHeight="true" outlineLevel="0" collapsed="false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customFormat="false" ht="15.75" hidden="false" customHeight="true" outlineLevel="0" collapsed="false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customFormat="false" ht="15.75" hidden="false" customHeight="true" outlineLevel="0" collapsed="false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customFormat="false" ht="15.75" hidden="false" customHeight="true" outlineLevel="0" collapsed="false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customFormat="false" ht="15.75" hidden="false" customHeight="true" outlineLevel="0" collapsed="false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customFormat="false" ht="15.75" hidden="false" customHeight="true" outlineLevel="0" collapsed="false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customFormat="false" ht="15.75" hidden="false" customHeight="true" outlineLevel="0" collapsed="false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customFormat="false" ht="15.75" hidden="false" customHeight="true" outlineLevel="0" collapsed="false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customFormat="false" ht="15.75" hidden="false" customHeight="true" outlineLevel="0" collapsed="false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customFormat="false" ht="15.75" hidden="false" customHeight="true" outlineLevel="0" collapsed="false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customFormat="false" ht="15.75" hidden="false" customHeight="true" outlineLevel="0" collapsed="false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customFormat="false" ht="15.75" hidden="false" customHeight="true" outlineLevel="0" collapsed="false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customFormat="false" ht="15.75" hidden="false" customHeight="true" outlineLevel="0" collapsed="false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customFormat="false" ht="15.75" hidden="false" customHeight="true" outlineLevel="0" collapsed="false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customFormat="false" ht="15.75" hidden="false" customHeight="true" outlineLevel="0" collapsed="false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customFormat="false" ht="15.75" hidden="false" customHeight="true" outlineLevel="0" collapsed="false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customFormat="false" ht="15.75" hidden="false" customHeight="true" outlineLevel="0" collapsed="false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customFormat="false" ht="15.75" hidden="false" customHeight="true" outlineLevel="0" collapsed="false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customFormat="false" ht="15.75" hidden="false" customHeight="true" outlineLevel="0" collapsed="false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customFormat="false" ht="15.75" hidden="false" customHeight="true" outlineLevel="0" collapsed="false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customFormat="false" ht="15.75" hidden="false" customHeight="true" outlineLevel="0" collapsed="false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customFormat="false" ht="15.75" hidden="false" customHeight="true" outlineLevel="0" collapsed="false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customFormat="false" ht="15.75" hidden="false" customHeight="true" outlineLevel="0" collapsed="false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customFormat="false" ht="15.75" hidden="false" customHeight="true" outlineLevel="0" collapsed="false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customFormat="false" ht="15.75" hidden="false" customHeight="true" outlineLevel="0" collapsed="false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customFormat="false" ht="15.75" hidden="false" customHeight="true" outlineLevel="0" collapsed="false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customFormat="false" ht="15.75" hidden="false" customHeight="true" outlineLevel="0" collapsed="false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customFormat="false" ht="15.75" hidden="false" customHeight="true" outlineLevel="0" collapsed="false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customFormat="false" ht="15.75" hidden="false" customHeight="true" outlineLevel="0" collapsed="false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customFormat="false" ht="15.75" hidden="false" customHeight="true" outlineLevel="0" collapsed="false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customFormat="false" ht="15.75" hidden="false" customHeight="true" outlineLevel="0" collapsed="false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customFormat="false" ht="15.75" hidden="false" customHeight="true" outlineLevel="0" collapsed="false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customFormat="false" ht="15.75" hidden="false" customHeight="true" outlineLevel="0" collapsed="false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customFormat="false" ht="15.75" hidden="false" customHeight="true" outlineLevel="0" collapsed="false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customFormat="false" ht="15.75" hidden="false" customHeight="true" outlineLevel="0" collapsed="false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customFormat="false" ht="15.75" hidden="false" customHeight="true" outlineLevel="0" collapsed="false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customFormat="false" ht="15.75" hidden="false" customHeight="true" outlineLevel="0" collapsed="false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customFormat="false" ht="15.75" hidden="false" customHeight="true" outlineLevel="0" collapsed="false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customFormat="false" ht="15.75" hidden="false" customHeight="true" outlineLevel="0" collapsed="false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customFormat="false" ht="15.75" hidden="false" customHeight="true" outlineLevel="0" collapsed="false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customFormat="false" ht="15.75" hidden="false" customHeight="true" outlineLevel="0" collapsed="false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customFormat="false" ht="15.75" hidden="false" customHeight="true" outlineLevel="0" collapsed="false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customFormat="false" ht="15.75" hidden="false" customHeight="true" outlineLevel="0" collapsed="false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customFormat="false" ht="15.75" hidden="false" customHeight="true" outlineLevel="0" collapsed="false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customFormat="false" ht="15.75" hidden="false" customHeight="true" outlineLevel="0" collapsed="false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customFormat="false" ht="15.75" hidden="false" customHeight="true" outlineLevel="0" collapsed="false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customFormat="false" ht="15.75" hidden="false" customHeight="true" outlineLevel="0" collapsed="false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customFormat="false" ht="15.75" hidden="false" customHeight="true" outlineLevel="0" collapsed="false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customFormat="false" ht="15.75" hidden="false" customHeight="true" outlineLevel="0" collapsed="false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customFormat="false" ht="15.75" hidden="false" customHeight="true" outlineLevel="0" collapsed="false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customFormat="false" ht="15.75" hidden="false" customHeight="true" outlineLevel="0" collapsed="false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customFormat="false" ht="15.75" hidden="false" customHeight="true" outlineLevel="0" collapsed="false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customFormat="false" ht="15.75" hidden="false" customHeight="true" outlineLevel="0" collapsed="false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customFormat="false" ht="15.75" hidden="false" customHeight="true" outlineLevel="0" collapsed="false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customFormat="false" ht="15.75" hidden="false" customHeight="true" outlineLevel="0" collapsed="false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customFormat="false" ht="15.75" hidden="false" customHeight="true" outlineLevel="0" collapsed="false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customFormat="false" ht="15.75" hidden="false" customHeight="true" outlineLevel="0" collapsed="false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customFormat="false" ht="15.75" hidden="false" customHeight="true" outlineLevel="0" collapsed="false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customFormat="false" ht="15.75" hidden="false" customHeight="true" outlineLevel="0" collapsed="false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customFormat="false" ht="15.75" hidden="false" customHeight="true" outlineLevel="0" collapsed="false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customFormat="false" ht="15.75" hidden="false" customHeight="true" outlineLevel="0" collapsed="false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customFormat="false" ht="15.75" hidden="false" customHeight="true" outlineLevel="0" collapsed="false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customFormat="false" ht="15.75" hidden="false" customHeight="true" outlineLevel="0" collapsed="false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customFormat="false" ht="15.75" hidden="false" customHeight="true" outlineLevel="0" collapsed="false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customFormat="false" ht="15.75" hidden="false" customHeight="true" outlineLevel="0" collapsed="false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customFormat="false" ht="15.75" hidden="false" customHeight="true" outlineLevel="0" collapsed="false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customFormat="false" ht="15.75" hidden="false" customHeight="true" outlineLevel="0" collapsed="false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customFormat="false" ht="15.75" hidden="false" customHeight="true" outlineLevel="0" collapsed="false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customFormat="false" ht="15.75" hidden="false" customHeight="true" outlineLevel="0" collapsed="false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customFormat="false" ht="15.75" hidden="false" customHeight="true" outlineLevel="0" collapsed="false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customFormat="false" ht="15.75" hidden="false" customHeight="true" outlineLevel="0" collapsed="false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customFormat="false" ht="15.75" hidden="false" customHeight="true" outlineLevel="0" collapsed="false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customFormat="false" ht="15.75" hidden="false" customHeight="true" outlineLevel="0" collapsed="false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customFormat="false" ht="15.75" hidden="false" customHeight="true" outlineLevel="0" collapsed="false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customFormat="false" ht="15.75" hidden="false" customHeight="true" outlineLevel="0" collapsed="false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customFormat="false" ht="15.75" hidden="false" customHeight="true" outlineLevel="0" collapsed="false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customFormat="false" ht="15.75" hidden="false" customHeight="true" outlineLevel="0" collapsed="false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customFormat="false" ht="15.75" hidden="false" customHeight="true" outlineLevel="0" collapsed="false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customFormat="false" ht="15.75" hidden="false" customHeight="true" outlineLevel="0" collapsed="false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customFormat="false" ht="15.75" hidden="false" customHeight="true" outlineLevel="0" collapsed="false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customFormat="false" ht="15.75" hidden="false" customHeight="true" outlineLevel="0" collapsed="false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customFormat="false" ht="15.75" hidden="false" customHeight="true" outlineLevel="0" collapsed="false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customFormat="false" ht="15.75" hidden="false" customHeight="true" outlineLevel="0" collapsed="false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customFormat="false" ht="15.75" hidden="false" customHeight="true" outlineLevel="0" collapsed="false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customFormat="false" ht="15.75" hidden="false" customHeight="true" outlineLevel="0" collapsed="false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customFormat="false" ht="15.75" hidden="false" customHeight="true" outlineLevel="0" collapsed="false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customFormat="false" ht="15.75" hidden="false" customHeight="true" outlineLevel="0" collapsed="false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customFormat="false" ht="15.75" hidden="false" customHeight="true" outlineLevel="0" collapsed="false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customFormat="false" ht="15.75" hidden="false" customHeight="true" outlineLevel="0" collapsed="false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customFormat="false" ht="15.75" hidden="false" customHeight="true" outlineLevel="0" collapsed="false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customFormat="false" ht="15.75" hidden="false" customHeight="true" outlineLevel="0" collapsed="false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customFormat="false" ht="15.75" hidden="false" customHeight="true" outlineLevel="0" collapsed="false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customFormat="false" ht="15.75" hidden="false" customHeight="true" outlineLevel="0" collapsed="false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customFormat="false" ht="15.75" hidden="false" customHeight="true" outlineLevel="0" collapsed="false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customFormat="false" ht="15.75" hidden="false" customHeight="true" outlineLevel="0" collapsed="false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customFormat="false" ht="15.75" hidden="false" customHeight="true" outlineLevel="0" collapsed="false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customFormat="false" ht="15.75" hidden="false" customHeight="true" outlineLevel="0" collapsed="false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customFormat="false" ht="15.75" hidden="false" customHeight="true" outlineLevel="0" collapsed="false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customFormat="false" ht="15.75" hidden="false" customHeight="true" outlineLevel="0" collapsed="false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customFormat="false" ht="15.75" hidden="false" customHeight="true" outlineLevel="0" collapsed="false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customFormat="false" ht="15.75" hidden="false" customHeight="true" outlineLevel="0" collapsed="false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customFormat="false" ht="15.75" hidden="false" customHeight="true" outlineLevel="0" collapsed="false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customFormat="false" ht="15.75" hidden="false" customHeight="true" outlineLevel="0" collapsed="false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customFormat="false" ht="15.75" hidden="false" customHeight="true" outlineLevel="0" collapsed="false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customFormat="false" ht="15.75" hidden="false" customHeight="true" outlineLevel="0" collapsed="false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customFormat="false" ht="15.75" hidden="false" customHeight="true" outlineLevel="0" collapsed="false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customFormat="false" ht="15.75" hidden="false" customHeight="true" outlineLevel="0" collapsed="false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customFormat="false" ht="15.75" hidden="false" customHeight="true" outlineLevel="0" collapsed="false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customFormat="false" ht="15.75" hidden="false" customHeight="true" outlineLevel="0" collapsed="false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customFormat="false" ht="15.75" hidden="false" customHeight="true" outlineLevel="0" collapsed="false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customFormat="false" ht="15.75" hidden="false" customHeight="true" outlineLevel="0" collapsed="false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customFormat="false" ht="15.75" hidden="false" customHeight="true" outlineLevel="0" collapsed="false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customFormat="false" ht="15.75" hidden="false" customHeight="true" outlineLevel="0" collapsed="false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customFormat="false" ht="15.75" hidden="false" customHeight="true" outlineLevel="0" collapsed="false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customFormat="false" ht="15.75" hidden="false" customHeight="true" outlineLevel="0" collapsed="false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customFormat="false" ht="15.75" hidden="false" customHeight="true" outlineLevel="0" collapsed="false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customFormat="false" ht="15.75" hidden="false" customHeight="true" outlineLevel="0" collapsed="false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customFormat="false" ht="15.75" hidden="false" customHeight="true" outlineLevel="0" collapsed="false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customFormat="false" ht="15.75" hidden="false" customHeight="true" outlineLevel="0" collapsed="false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customFormat="false" ht="15.75" hidden="false" customHeight="true" outlineLevel="0" collapsed="false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customFormat="false" ht="15.75" hidden="false" customHeight="true" outlineLevel="0" collapsed="false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customFormat="false" ht="15.75" hidden="false" customHeight="true" outlineLevel="0" collapsed="false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customFormat="false" ht="15.75" hidden="false" customHeight="true" outlineLevel="0" collapsed="false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customFormat="false" ht="15.75" hidden="false" customHeight="true" outlineLevel="0" collapsed="false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customFormat="false" ht="15.75" hidden="false" customHeight="true" outlineLevel="0" collapsed="false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customFormat="false" ht="15.75" hidden="false" customHeight="true" outlineLevel="0" collapsed="false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customFormat="false" ht="15.75" hidden="false" customHeight="true" outlineLevel="0" collapsed="false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customFormat="false" ht="15.75" hidden="false" customHeight="true" outlineLevel="0" collapsed="false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customFormat="false" ht="15.75" hidden="false" customHeight="true" outlineLevel="0" collapsed="false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customFormat="false" ht="15.75" hidden="false" customHeight="true" outlineLevel="0" collapsed="false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customFormat="false" ht="15.75" hidden="false" customHeight="true" outlineLevel="0" collapsed="false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customFormat="false" ht="15.75" hidden="false" customHeight="true" outlineLevel="0" collapsed="false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customFormat="false" ht="15.75" hidden="false" customHeight="true" outlineLevel="0" collapsed="false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customFormat="false" ht="15.75" hidden="false" customHeight="true" outlineLevel="0" collapsed="false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customFormat="false" ht="15.75" hidden="false" customHeight="true" outlineLevel="0" collapsed="false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customFormat="false" ht="15.75" hidden="false" customHeight="true" outlineLevel="0" collapsed="false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customFormat="false" ht="15.75" hidden="false" customHeight="true" outlineLevel="0" collapsed="false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customFormat="false" ht="15.75" hidden="false" customHeight="true" outlineLevel="0" collapsed="false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customFormat="false" ht="15.75" hidden="false" customHeight="true" outlineLevel="0" collapsed="false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customFormat="false" ht="15.75" hidden="false" customHeight="true" outlineLevel="0" collapsed="false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customFormat="false" ht="15.75" hidden="false" customHeight="true" outlineLevel="0" collapsed="false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customFormat="false" ht="15.75" hidden="false" customHeight="true" outlineLevel="0" collapsed="false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customFormat="false" ht="15.75" hidden="false" customHeight="true" outlineLevel="0" collapsed="false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customFormat="false" ht="15.75" hidden="false" customHeight="true" outlineLevel="0" collapsed="false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customFormat="false" ht="15.75" hidden="false" customHeight="true" outlineLevel="0" collapsed="false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customFormat="false" ht="15.75" hidden="false" customHeight="true" outlineLevel="0" collapsed="false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customFormat="false" ht="15.75" hidden="false" customHeight="true" outlineLevel="0" collapsed="false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customFormat="false" ht="15.75" hidden="false" customHeight="true" outlineLevel="0" collapsed="false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customFormat="false" ht="15.75" hidden="false" customHeight="true" outlineLevel="0" collapsed="false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customFormat="false" ht="15.75" hidden="false" customHeight="true" outlineLevel="0" collapsed="false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customFormat="false" ht="15.75" hidden="false" customHeight="true" outlineLevel="0" collapsed="false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customFormat="false" ht="15.75" hidden="false" customHeight="true" outlineLevel="0" collapsed="false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customFormat="false" ht="15.75" hidden="false" customHeight="true" outlineLevel="0" collapsed="false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customFormat="false" ht="15.75" hidden="false" customHeight="true" outlineLevel="0" collapsed="false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customFormat="false" ht="15.75" hidden="false" customHeight="true" outlineLevel="0" collapsed="false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customFormat="false" ht="15.75" hidden="false" customHeight="true" outlineLevel="0" collapsed="false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customFormat="false" ht="15.75" hidden="false" customHeight="true" outlineLevel="0" collapsed="false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customFormat="false" ht="15.75" hidden="false" customHeight="true" outlineLevel="0" collapsed="false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customFormat="false" ht="15.75" hidden="false" customHeight="true" outlineLevel="0" collapsed="false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customFormat="false" ht="15.75" hidden="false" customHeight="true" outlineLevel="0" collapsed="false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customFormat="false" ht="15.75" hidden="false" customHeight="true" outlineLevel="0" collapsed="false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customFormat="false" ht="15.75" hidden="false" customHeight="true" outlineLevel="0" collapsed="false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customFormat="false" ht="15.75" hidden="false" customHeight="true" outlineLevel="0" collapsed="false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customFormat="false" ht="15.75" hidden="false" customHeight="true" outlineLevel="0" collapsed="false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customFormat="false" ht="15.75" hidden="false" customHeight="true" outlineLevel="0" collapsed="false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customFormat="false" ht="15.75" hidden="false" customHeight="true" outlineLevel="0" collapsed="false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customFormat="false" ht="15.75" hidden="false" customHeight="true" outlineLevel="0" collapsed="false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customFormat="false" ht="15.75" hidden="false" customHeight="true" outlineLevel="0" collapsed="false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customFormat="false" ht="15.75" hidden="false" customHeight="true" outlineLevel="0" collapsed="false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customFormat="false" ht="15.75" hidden="false" customHeight="true" outlineLevel="0" collapsed="false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customFormat="false" ht="15.75" hidden="false" customHeight="true" outlineLevel="0" collapsed="false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customFormat="false" ht="15.75" hidden="false" customHeight="true" outlineLevel="0" collapsed="false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customFormat="false" ht="15.75" hidden="false" customHeight="true" outlineLevel="0" collapsed="false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customFormat="false" ht="15.75" hidden="false" customHeight="true" outlineLevel="0" collapsed="false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customFormat="false" ht="15.75" hidden="false" customHeight="true" outlineLevel="0" collapsed="false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customFormat="false" ht="15.75" hidden="false" customHeight="true" outlineLevel="0" collapsed="false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customFormat="false" ht="15.75" hidden="false" customHeight="true" outlineLevel="0" collapsed="false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customFormat="false" ht="15.75" hidden="false" customHeight="true" outlineLevel="0" collapsed="false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customFormat="false" ht="15.75" hidden="false" customHeight="true" outlineLevel="0" collapsed="false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customFormat="false" ht="15.75" hidden="false" customHeight="true" outlineLevel="0" collapsed="false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customFormat="false" ht="15.75" hidden="false" customHeight="true" outlineLevel="0" collapsed="false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customFormat="false" ht="15.75" hidden="false" customHeight="true" outlineLevel="0" collapsed="false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customFormat="false" ht="15.75" hidden="false" customHeight="true" outlineLevel="0" collapsed="false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customFormat="false" ht="15.75" hidden="false" customHeight="true" outlineLevel="0" collapsed="false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customFormat="false" ht="15.75" hidden="false" customHeight="true" outlineLevel="0" collapsed="false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customFormat="false" ht="15.75" hidden="false" customHeight="true" outlineLevel="0" collapsed="false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customFormat="false" ht="15.75" hidden="false" customHeight="true" outlineLevel="0" collapsed="false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customFormat="false" ht="15.75" hidden="false" customHeight="true" outlineLevel="0" collapsed="false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customFormat="false" ht="15.75" hidden="false" customHeight="true" outlineLevel="0" collapsed="false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customFormat="false" ht="15.75" hidden="false" customHeight="true" outlineLevel="0" collapsed="false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customFormat="false" ht="15.75" hidden="false" customHeight="true" outlineLevel="0" collapsed="false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customFormat="false" ht="15.75" hidden="false" customHeight="true" outlineLevel="0" collapsed="false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customFormat="false" ht="15.75" hidden="false" customHeight="true" outlineLevel="0" collapsed="false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customFormat="false" ht="15.75" hidden="false" customHeight="true" outlineLevel="0" collapsed="false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customFormat="false" ht="15.75" hidden="false" customHeight="true" outlineLevel="0" collapsed="false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customFormat="false" ht="15.75" hidden="false" customHeight="true" outlineLevel="0" collapsed="false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customFormat="false" ht="15.75" hidden="false" customHeight="true" outlineLevel="0" collapsed="false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customFormat="false" ht="15.75" hidden="false" customHeight="true" outlineLevel="0" collapsed="false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customFormat="false" ht="15.75" hidden="false" customHeight="true" outlineLevel="0" collapsed="false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customFormat="false" ht="15.75" hidden="false" customHeight="true" outlineLevel="0" collapsed="false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customFormat="false" ht="15.75" hidden="false" customHeight="true" outlineLevel="0" collapsed="false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customFormat="false" ht="15.75" hidden="false" customHeight="true" outlineLevel="0" collapsed="false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customFormat="false" ht="15.75" hidden="false" customHeight="true" outlineLevel="0" collapsed="false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customFormat="false" ht="15.75" hidden="false" customHeight="true" outlineLevel="0" collapsed="false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customFormat="false" ht="15.75" hidden="false" customHeight="true" outlineLevel="0" collapsed="false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customFormat="false" ht="15.75" hidden="false" customHeight="true" outlineLevel="0" collapsed="false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customFormat="false" ht="15.75" hidden="false" customHeight="true" outlineLevel="0" collapsed="false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customFormat="false" ht="15.75" hidden="false" customHeight="true" outlineLevel="0" collapsed="false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customFormat="false" ht="15.75" hidden="false" customHeight="true" outlineLevel="0" collapsed="false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customFormat="false" ht="15.75" hidden="false" customHeight="true" outlineLevel="0" collapsed="false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customFormat="false" ht="15.75" hidden="false" customHeight="true" outlineLevel="0" collapsed="false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customFormat="false" ht="15.75" hidden="false" customHeight="true" outlineLevel="0" collapsed="false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customFormat="false" ht="15.75" hidden="false" customHeight="true" outlineLevel="0" collapsed="false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customFormat="false" ht="15.75" hidden="false" customHeight="true" outlineLevel="0" collapsed="false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customFormat="false" ht="15.75" hidden="false" customHeight="true" outlineLevel="0" collapsed="false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customFormat="false" ht="15.75" hidden="false" customHeight="true" outlineLevel="0" collapsed="false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customFormat="false" ht="15.75" hidden="false" customHeight="true" outlineLevel="0" collapsed="false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customFormat="false" ht="15.75" hidden="false" customHeight="true" outlineLevel="0" collapsed="false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customFormat="false" ht="15.75" hidden="false" customHeight="true" outlineLevel="0" collapsed="false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customFormat="false" ht="15.75" hidden="false" customHeight="true" outlineLevel="0" collapsed="false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customFormat="false" ht="15.75" hidden="false" customHeight="true" outlineLevel="0" collapsed="false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customFormat="false" ht="15.75" hidden="false" customHeight="true" outlineLevel="0" collapsed="false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customFormat="false" ht="15.75" hidden="false" customHeight="true" outlineLevel="0" collapsed="false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customFormat="false" ht="15.75" hidden="false" customHeight="true" outlineLevel="0" collapsed="false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customFormat="false" ht="15.75" hidden="false" customHeight="true" outlineLevel="0" collapsed="false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customFormat="false" ht="15.75" hidden="false" customHeight="true" outlineLevel="0" collapsed="false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customFormat="false" ht="15.75" hidden="false" customHeight="true" outlineLevel="0" collapsed="false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customFormat="false" ht="15.75" hidden="false" customHeight="true" outlineLevel="0" collapsed="false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customFormat="false" ht="15.75" hidden="false" customHeight="true" outlineLevel="0" collapsed="false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customFormat="false" ht="15.75" hidden="false" customHeight="true" outlineLevel="0" collapsed="false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customFormat="false" ht="15.75" hidden="false" customHeight="true" outlineLevel="0" collapsed="false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customFormat="false" ht="15.75" hidden="false" customHeight="true" outlineLevel="0" collapsed="false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customFormat="false" ht="15.75" hidden="false" customHeight="true" outlineLevel="0" collapsed="false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customFormat="false" ht="15.75" hidden="false" customHeight="true" outlineLevel="0" collapsed="false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customFormat="false" ht="15.75" hidden="false" customHeight="true" outlineLevel="0" collapsed="false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customFormat="false" ht="15.75" hidden="false" customHeight="true" outlineLevel="0" collapsed="false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customFormat="false" ht="15.75" hidden="false" customHeight="true" outlineLevel="0" collapsed="false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customFormat="false" ht="15.75" hidden="false" customHeight="true" outlineLevel="0" collapsed="false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customFormat="false" ht="15.75" hidden="false" customHeight="true" outlineLevel="0" collapsed="false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customFormat="false" ht="15.75" hidden="false" customHeight="true" outlineLevel="0" collapsed="false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customFormat="false" ht="15.75" hidden="false" customHeight="true" outlineLevel="0" collapsed="false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customFormat="false" ht="15.75" hidden="false" customHeight="true" outlineLevel="0" collapsed="false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customFormat="false" ht="15.75" hidden="false" customHeight="true" outlineLevel="0" collapsed="false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customFormat="false" ht="15.75" hidden="false" customHeight="true" outlineLevel="0" collapsed="false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customFormat="false" ht="15.75" hidden="false" customHeight="true" outlineLevel="0" collapsed="false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customFormat="false" ht="15.75" hidden="false" customHeight="true" outlineLevel="0" collapsed="false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customFormat="false" ht="15.75" hidden="false" customHeight="true" outlineLevel="0" collapsed="false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customFormat="false" ht="15.75" hidden="false" customHeight="true" outlineLevel="0" collapsed="false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customFormat="false" ht="15.75" hidden="false" customHeight="true" outlineLevel="0" collapsed="false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customFormat="false" ht="15.75" hidden="false" customHeight="true" outlineLevel="0" collapsed="false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customFormat="false" ht="15.75" hidden="false" customHeight="true" outlineLevel="0" collapsed="false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customFormat="false" ht="15.75" hidden="false" customHeight="true" outlineLevel="0" collapsed="false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customFormat="false" ht="15.75" hidden="false" customHeight="true" outlineLevel="0" collapsed="false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customFormat="false" ht="15.75" hidden="false" customHeight="true" outlineLevel="0" collapsed="false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customFormat="false" ht="15.75" hidden="false" customHeight="true" outlineLevel="0" collapsed="false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customFormat="false" ht="15.75" hidden="false" customHeight="true" outlineLevel="0" collapsed="false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customFormat="false" ht="15.75" hidden="false" customHeight="true" outlineLevel="0" collapsed="false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customFormat="false" ht="15.75" hidden="false" customHeight="true" outlineLevel="0" collapsed="false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customFormat="false" ht="15.75" hidden="false" customHeight="true" outlineLevel="0" collapsed="false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customFormat="false" ht="15.75" hidden="false" customHeight="true" outlineLevel="0" collapsed="false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customFormat="false" ht="15.75" hidden="false" customHeight="true" outlineLevel="0" collapsed="false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customFormat="false" ht="15.75" hidden="false" customHeight="true" outlineLevel="0" collapsed="false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customFormat="false" ht="15.75" hidden="false" customHeight="true" outlineLevel="0" collapsed="false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customFormat="false" ht="15.75" hidden="false" customHeight="true" outlineLevel="0" collapsed="false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customFormat="false" ht="15.75" hidden="false" customHeight="true" outlineLevel="0" collapsed="false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customFormat="false" ht="15.75" hidden="false" customHeight="true" outlineLevel="0" collapsed="false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customFormat="false" ht="15.75" hidden="false" customHeight="true" outlineLevel="0" collapsed="false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customFormat="false" ht="15.75" hidden="false" customHeight="true" outlineLevel="0" collapsed="false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customFormat="false" ht="15.75" hidden="false" customHeight="true" outlineLevel="0" collapsed="false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customFormat="false" ht="15.75" hidden="false" customHeight="true" outlineLevel="0" collapsed="false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customFormat="false" ht="15.75" hidden="false" customHeight="true" outlineLevel="0" collapsed="false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customFormat="false" ht="15.75" hidden="false" customHeight="true" outlineLevel="0" collapsed="false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customFormat="false" ht="15.75" hidden="false" customHeight="true" outlineLevel="0" collapsed="false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customFormat="false" ht="15.75" hidden="false" customHeight="true" outlineLevel="0" collapsed="false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customFormat="false" ht="15.75" hidden="false" customHeight="true" outlineLevel="0" collapsed="false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customFormat="false" ht="15.75" hidden="false" customHeight="true" outlineLevel="0" collapsed="false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customFormat="false" ht="15.75" hidden="false" customHeight="true" outlineLevel="0" collapsed="false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customFormat="false" ht="15.75" hidden="false" customHeight="true" outlineLevel="0" collapsed="false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customFormat="false" ht="15.75" hidden="false" customHeight="true" outlineLevel="0" collapsed="false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customFormat="false" ht="15.75" hidden="false" customHeight="true" outlineLevel="0" collapsed="false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customFormat="false" ht="15.75" hidden="false" customHeight="true" outlineLevel="0" collapsed="false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customFormat="false" ht="15.75" hidden="false" customHeight="true" outlineLevel="0" collapsed="false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customFormat="false" ht="15.75" hidden="false" customHeight="true" outlineLevel="0" collapsed="false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customFormat="false" ht="15.75" hidden="false" customHeight="true" outlineLevel="0" collapsed="false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customFormat="false" ht="15.75" hidden="false" customHeight="true" outlineLevel="0" collapsed="false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customFormat="false" ht="15.75" hidden="false" customHeight="true" outlineLevel="0" collapsed="false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customFormat="false" ht="15.75" hidden="false" customHeight="true" outlineLevel="0" collapsed="false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customFormat="false" ht="15.75" hidden="false" customHeight="true" outlineLevel="0" collapsed="false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customFormat="false" ht="15.75" hidden="false" customHeight="true" outlineLevel="0" collapsed="false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customFormat="false" ht="15.75" hidden="false" customHeight="true" outlineLevel="0" collapsed="false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customFormat="false" ht="15.75" hidden="false" customHeight="true" outlineLevel="0" collapsed="false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customFormat="false" ht="15.75" hidden="false" customHeight="true" outlineLevel="0" collapsed="false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customFormat="false" ht="15.75" hidden="false" customHeight="true" outlineLevel="0" collapsed="false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customFormat="false" ht="15.75" hidden="false" customHeight="true" outlineLevel="0" collapsed="false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customFormat="false" ht="15.75" hidden="false" customHeight="true" outlineLevel="0" collapsed="false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customFormat="false" ht="15.75" hidden="false" customHeight="true" outlineLevel="0" collapsed="false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customFormat="false" ht="15.75" hidden="false" customHeight="true" outlineLevel="0" collapsed="false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customFormat="false" ht="15.75" hidden="false" customHeight="true" outlineLevel="0" collapsed="false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customFormat="false" ht="15.75" hidden="false" customHeight="true" outlineLevel="0" collapsed="false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customFormat="false" ht="15.75" hidden="false" customHeight="true" outlineLevel="0" collapsed="false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customFormat="false" ht="15.75" hidden="false" customHeight="true" outlineLevel="0" collapsed="false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customFormat="false" ht="15.75" hidden="false" customHeight="true" outlineLevel="0" collapsed="false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customFormat="false" ht="15.75" hidden="false" customHeight="true" outlineLevel="0" collapsed="false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customFormat="false" ht="15.75" hidden="false" customHeight="true" outlineLevel="0" collapsed="false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customFormat="false" ht="15.75" hidden="false" customHeight="true" outlineLevel="0" collapsed="false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customFormat="false" ht="15.75" hidden="false" customHeight="true" outlineLevel="0" collapsed="false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customFormat="false" ht="15.75" hidden="false" customHeight="true" outlineLevel="0" collapsed="false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customFormat="false" ht="15.75" hidden="false" customHeight="true" outlineLevel="0" collapsed="false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customFormat="false" ht="15.75" hidden="false" customHeight="true" outlineLevel="0" collapsed="false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customFormat="false" ht="15.75" hidden="false" customHeight="true" outlineLevel="0" collapsed="false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customFormat="false" ht="15.75" hidden="false" customHeight="true" outlineLevel="0" collapsed="false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customFormat="false" ht="15.75" hidden="false" customHeight="true" outlineLevel="0" collapsed="false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customFormat="false" ht="15.75" hidden="false" customHeight="true" outlineLevel="0" collapsed="false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customFormat="false" ht="15.75" hidden="false" customHeight="true" outlineLevel="0" collapsed="false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customFormat="false" ht="15.75" hidden="false" customHeight="true" outlineLevel="0" collapsed="false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customFormat="false" ht="15.75" hidden="false" customHeight="true" outlineLevel="0" collapsed="false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customFormat="false" ht="15.75" hidden="false" customHeight="true" outlineLevel="0" collapsed="false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customFormat="false" ht="15.75" hidden="false" customHeight="true" outlineLevel="0" collapsed="false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customFormat="false" ht="15.75" hidden="false" customHeight="true" outlineLevel="0" collapsed="false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customFormat="false" ht="15.75" hidden="false" customHeight="true" outlineLevel="0" collapsed="false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customFormat="false" ht="15.75" hidden="false" customHeight="true" outlineLevel="0" collapsed="false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customFormat="false" ht="15.75" hidden="false" customHeight="true" outlineLevel="0" collapsed="false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customFormat="false" ht="15.75" hidden="false" customHeight="true" outlineLevel="0" collapsed="false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customFormat="false" ht="15.75" hidden="false" customHeight="true" outlineLevel="0" collapsed="false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customFormat="false" ht="15.75" hidden="false" customHeight="true" outlineLevel="0" collapsed="false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customFormat="false" ht="15.75" hidden="false" customHeight="true" outlineLevel="0" collapsed="false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customFormat="false" ht="15.75" hidden="false" customHeight="true" outlineLevel="0" collapsed="false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customFormat="false" ht="15.75" hidden="false" customHeight="true" outlineLevel="0" collapsed="false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customFormat="false" ht="15.75" hidden="false" customHeight="true" outlineLevel="0" collapsed="false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customFormat="false" ht="15.75" hidden="false" customHeight="true" outlineLevel="0" collapsed="false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customFormat="false" ht="15.75" hidden="false" customHeight="true" outlineLevel="0" collapsed="false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customFormat="false" ht="15.75" hidden="false" customHeight="true" outlineLevel="0" collapsed="false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customFormat="false" ht="15.75" hidden="false" customHeight="true" outlineLevel="0" collapsed="false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customFormat="false" ht="15.75" hidden="false" customHeight="true" outlineLevel="0" collapsed="false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customFormat="false" ht="15.75" hidden="false" customHeight="true" outlineLevel="0" collapsed="false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customFormat="false" ht="15.75" hidden="false" customHeight="true" outlineLevel="0" collapsed="false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customFormat="false" ht="15.75" hidden="false" customHeight="true" outlineLevel="0" collapsed="false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customFormat="false" ht="15.75" hidden="false" customHeight="true" outlineLevel="0" collapsed="false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customFormat="false" ht="15.75" hidden="false" customHeight="true" outlineLevel="0" collapsed="false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customFormat="false" ht="15.75" hidden="false" customHeight="true" outlineLevel="0" collapsed="false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customFormat="false" ht="15.75" hidden="false" customHeight="true" outlineLevel="0" collapsed="false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customFormat="false" ht="15.75" hidden="false" customHeight="true" outlineLevel="0" collapsed="false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customFormat="false" ht="15.75" hidden="false" customHeight="true" outlineLevel="0" collapsed="false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customFormat="false" ht="15.75" hidden="false" customHeight="true" outlineLevel="0" collapsed="false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customFormat="false" ht="15.75" hidden="false" customHeight="true" outlineLevel="0" collapsed="false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customFormat="false" ht="15.75" hidden="false" customHeight="true" outlineLevel="0" collapsed="false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customFormat="false" ht="15.75" hidden="false" customHeight="true" outlineLevel="0" collapsed="false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customFormat="false" ht="15.75" hidden="false" customHeight="true" outlineLevel="0" collapsed="false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customFormat="false" ht="15.75" hidden="false" customHeight="true" outlineLevel="0" collapsed="false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customFormat="false" ht="15.75" hidden="false" customHeight="true" outlineLevel="0" collapsed="false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customFormat="false" ht="15.75" hidden="false" customHeight="true" outlineLevel="0" collapsed="false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customFormat="false" ht="15.75" hidden="false" customHeight="true" outlineLevel="0" collapsed="false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customFormat="false" ht="15.75" hidden="false" customHeight="true" outlineLevel="0" collapsed="false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customFormat="false" ht="15.75" hidden="false" customHeight="true" outlineLevel="0" collapsed="false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customFormat="false" ht="15.75" hidden="false" customHeight="true" outlineLevel="0" collapsed="false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customFormat="false" ht="15.75" hidden="false" customHeight="true" outlineLevel="0" collapsed="false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customFormat="false" ht="15.75" hidden="false" customHeight="true" outlineLevel="0" collapsed="false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customFormat="false" ht="15.75" hidden="false" customHeight="true" outlineLevel="0" collapsed="false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customFormat="false" ht="15.75" hidden="false" customHeight="true" outlineLevel="0" collapsed="false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customFormat="false" ht="15.75" hidden="false" customHeight="true" outlineLevel="0" collapsed="false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customFormat="false" ht="15.75" hidden="false" customHeight="true" outlineLevel="0" collapsed="false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customFormat="false" ht="15.75" hidden="false" customHeight="true" outlineLevel="0" collapsed="false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customFormat="false" ht="15.75" hidden="false" customHeight="true" outlineLevel="0" collapsed="false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customFormat="false" ht="15.75" hidden="false" customHeight="true" outlineLevel="0" collapsed="false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customFormat="false" ht="15.75" hidden="false" customHeight="true" outlineLevel="0" collapsed="false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customFormat="false" ht="15.75" hidden="false" customHeight="true" outlineLevel="0" collapsed="false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customFormat="false" ht="15.75" hidden="false" customHeight="true" outlineLevel="0" collapsed="false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customFormat="false" ht="15.75" hidden="false" customHeight="true" outlineLevel="0" collapsed="false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customFormat="false" ht="15.75" hidden="false" customHeight="true" outlineLevel="0" collapsed="false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customFormat="false" ht="15.75" hidden="false" customHeight="true" outlineLevel="0" collapsed="false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customFormat="false" ht="15.75" hidden="false" customHeight="true" outlineLevel="0" collapsed="false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customFormat="false" ht="15.75" hidden="false" customHeight="true" outlineLevel="0" collapsed="false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customFormat="false" ht="15.75" hidden="false" customHeight="true" outlineLevel="0" collapsed="false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customFormat="false" ht="15.75" hidden="false" customHeight="true" outlineLevel="0" collapsed="false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customFormat="false" ht="15.75" hidden="false" customHeight="true" outlineLevel="0" collapsed="false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customFormat="false" ht="15.75" hidden="false" customHeight="true" outlineLevel="0" collapsed="false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customFormat="false" ht="15.75" hidden="false" customHeight="true" outlineLevel="0" collapsed="false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customFormat="false" ht="15.75" hidden="false" customHeight="true" outlineLevel="0" collapsed="false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customFormat="false" ht="15.75" hidden="false" customHeight="true" outlineLevel="0" collapsed="false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customFormat="false" ht="15.75" hidden="false" customHeight="true" outlineLevel="0" collapsed="false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customFormat="false" ht="15.75" hidden="false" customHeight="true" outlineLevel="0" collapsed="false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customFormat="false" ht="15.75" hidden="false" customHeight="true" outlineLevel="0" collapsed="false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customFormat="false" ht="15.75" hidden="false" customHeight="true" outlineLevel="0" collapsed="false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customFormat="false" ht="15.75" hidden="false" customHeight="true" outlineLevel="0" collapsed="false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customFormat="false" ht="15.75" hidden="false" customHeight="true" outlineLevel="0" collapsed="false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customFormat="false" ht="15.75" hidden="false" customHeight="true" outlineLevel="0" collapsed="false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customFormat="false" ht="15.75" hidden="false" customHeight="true" outlineLevel="0" collapsed="false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customFormat="false" ht="15.75" hidden="false" customHeight="true" outlineLevel="0" collapsed="false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customFormat="false" ht="15.75" hidden="false" customHeight="true" outlineLevel="0" collapsed="false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customFormat="false" ht="15.75" hidden="false" customHeight="true" outlineLevel="0" collapsed="false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customFormat="false" ht="15.75" hidden="false" customHeight="true" outlineLevel="0" collapsed="false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customFormat="false" ht="15.75" hidden="false" customHeight="true" outlineLevel="0" collapsed="false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customFormat="false" ht="15.75" hidden="false" customHeight="true" outlineLevel="0" collapsed="false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customFormat="false" ht="15.75" hidden="false" customHeight="true" outlineLevel="0" collapsed="false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customFormat="false" ht="15.75" hidden="false" customHeight="true" outlineLevel="0" collapsed="false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customFormat="false" ht="15.75" hidden="false" customHeight="true" outlineLevel="0" collapsed="false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customFormat="false" ht="15.75" hidden="false" customHeight="true" outlineLevel="0" collapsed="false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customFormat="false" ht="15.75" hidden="false" customHeight="true" outlineLevel="0" collapsed="false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customFormat="false" ht="15.75" hidden="false" customHeight="true" outlineLevel="0" collapsed="false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customFormat="false" ht="15.75" hidden="false" customHeight="true" outlineLevel="0" collapsed="false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customFormat="false" ht="15.75" hidden="false" customHeight="true" outlineLevel="0" collapsed="false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customFormat="false" ht="15.75" hidden="false" customHeight="true" outlineLevel="0" collapsed="false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customFormat="false" ht="15.75" hidden="false" customHeight="true" outlineLevel="0" collapsed="false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customFormat="false" ht="15.75" hidden="false" customHeight="true" outlineLevel="0" collapsed="false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customFormat="false" ht="15.75" hidden="false" customHeight="true" outlineLevel="0" collapsed="false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customFormat="false" ht="15.75" hidden="false" customHeight="true" outlineLevel="0" collapsed="false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customFormat="false" ht="15.75" hidden="false" customHeight="true" outlineLevel="0" collapsed="false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customFormat="false" ht="15.75" hidden="false" customHeight="true" outlineLevel="0" collapsed="false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customFormat="false" ht="15.75" hidden="false" customHeight="true" outlineLevel="0" collapsed="false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customFormat="false" ht="15.75" hidden="false" customHeight="true" outlineLevel="0" collapsed="false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customFormat="false" ht="15.75" hidden="false" customHeight="true" outlineLevel="0" collapsed="false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customFormat="false" ht="15.75" hidden="false" customHeight="true" outlineLevel="0" collapsed="false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customFormat="false" ht="15.75" hidden="false" customHeight="true" outlineLevel="0" collapsed="false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customFormat="false" ht="15.75" hidden="false" customHeight="true" outlineLevel="0" collapsed="false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customFormat="false" ht="15.75" hidden="false" customHeight="true" outlineLevel="0" collapsed="false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customFormat="false" ht="15.75" hidden="false" customHeight="true" outlineLevel="0" collapsed="false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customFormat="false" ht="15.75" hidden="false" customHeight="true" outlineLevel="0" collapsed="false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customFormat="false" ht="15.75" hidden="false" customHeight="true" outlineLevel="0" collapsed="false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customFormat="false" ht="15.75" hidden="false" customHeight="true" outlineLevel="0" collapsed="false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customFormat="false" ht="15.75" hidden="false" customHeight="true" outlineLevel="0" collapsed="false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customFormat="false" ht="15.75" hidden="false" customHeight="true" outlineLevel="0" collapsed="false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customFormat="false" ht="15.75" hidden="false" customHeight="true" outlineLevel="0" collapsed="false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customFormat="false" ht="15.75" hidden="false" customHeight="true" outlineLevel="0" collapsed="false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customFormat="false" ht="15.75" hidden="false" customHeight="true" outlineLevel="0" collapsed="false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customFormat="false" ht="15.75" hidden="false" customHeight="true" outlineLevel="0" collapsed="false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customFormat="false" ht="15.75" hidden="false" customHeight="true" outlineLevel="0" collapsed="false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customFormat="false" ht="15.75" hidden="false" customHeight="true" outlineLevel="0" collapsed="false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customFormat="false" ht="15.75" hidden="false" customHeight="true" outlineLevel="0" collapsed="false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customFormat="false" ht="15.75" hidden="false" customHeight="true" outlineLevel="0" collapsed="false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customFormat="false" ht="15.75" hidden="false" customHeight="true" outlineLevel="0" collapsed="false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customFormat="false" ht="15.75" hidden="false" customHeight="true" outlineLevel="0" collapsed="false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customFormat="false" ht="15.75" hidden="false" customHeight="true" outlineLevel="0" collapsed="false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customFormat="false" ht="15.75" hidden="false" customHeight="true" outlineLevel="0" collapsed="false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customFormat="false" ht="15.75" hidden="false" customHeight="true" outlineLevel="0" collapsed="false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customFormat="false" ht="15.75" hidden="false" customHeight="true" outlineLevel="0" collapsed="false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customFormat="false" ht="15.75" hidden="false" customHeight="true" outlineLevel="0" collapsed="false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customFormat="false" ht="15.75" hidden="false" customHeight="true" outlineLevel="0" collapsed="false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customFormat="false" ht="15.75" hidden="false" customHeight="true" outlineLevel="0" collapsed="false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customFormat="false" ht="15.75" hidden="false" customHeight="true" outlineLevel="0" collapsed="false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customFormat="false" ht="15.75" hidden="false" customHeight="true" outlineLevel="0" collapsed="false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customFormat="false" ht="15.75" hidden="false" customHeight="true" outlineLevel="0" collapsed="false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customFormat="false" ht="15.75" hidden="false" customHeight="true" outlineLevel="0" collapsed="false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customFormat="false" ht="15.75" hidden="false" customHeight="true" outlineLevel="0" collapsed="false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customFormat="false" ht="15.75" hidden="false" customHeight="true" outlineLevel="0" collapsed="false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customFormat="false" ht="15.75" hidden="false" customHeight="true" outlineLevel="0" collapsed="false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customFormat="false" ht="15.75" hidden="false" customHeight="true" outlineLevel="0" collapsed="false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customFormat="false" ht="15.75" hidden="false" customHeight="true" outlineLevel="0" collapsed="false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customFormat="false" ht="15.75" hidden="false" customHeight="true" outlineLevel="0" collapsed="false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customFormat="false" ht="15.75" hidden="false" customHeight="true" outlineLevel="0" collapsed="false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customFormat="false" ht="15.75" hidden="false" customHeight="true" outlineLevel="0" collapsed="false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customFormat="false" ht="15.75" hidden="false" customHeight="true" outlineLevel="0" collapsed="false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customFormat="false" ht="15.75" hidden="false" customHeight="true" outlineLevel="0" collapsed="false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customFormat="false" ht="15.75" hidden="false" customHeight="true" outlineLevel="0" collapsed="false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customFormat="false" ht="15.75" hidden="false" customHeight="true" outlineLevel="0" collapsed="false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customFormat="false" ht="15.75" hidden="false" customHeight="true" outlineLevel="0" collapsed="false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customFormat="false" ht="15.75" hidden="false" customHeight="true" outlineLevel="0" collapsed="false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customFormat="false" ht="15.75" hidden="false" customHeight="true" outlineLevel="0" collapsed="false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customFormat="false" ht="15.75" hidden="false" customHeight="true" outlineLevel="0" collapsed="false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customFormat="false" ht="15.75" hidden="false" customHeight="true" outlineLevel="0" collapsed="false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customFormat="false" ht="15.75" hidden="false" customHeight="true" outlineLevel="0" collapsed="false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customFormat="false" ht="15.75" hidden="false" customHeight="true" outlineLevel="0" collapsed="false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customFormat="false" ht="15.75" hidden="false" customHeight="true" outlineLevel="0" collapsed="false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customFormat="false" ht="15.75" hidden="false" customHeight="true" outlineLevel="0" collapsed="false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customFormat="false" ht="15.75" hidden="false" customHeight="true" outlineLevel="0" collapsed="false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customFormat="false" ht="15.75" hidden="false" customHeight="true" outlineLevel="0" collapsed="false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customFormat="false" ht="15.75" hidden="false" customHeight="true" outlineLevel="0" collapsed="false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customFormat="false" ht="15.75" hidden="false" customHeight="true" outlineLevel="0" collapsed="false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customFormat="false" ht="15.75" hidden="false" customHeight="true" outlineLevel="0" collapsed="false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customFormat="false" ht="15.75" hidden="false" customHeight="true" outlineLevel="0" collapsed="false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customFormat="false" ht="15.75" hidden="false" customHeight="true" outlineLevel="0" collapsed="false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customFormat="false" ht="15.75" hidden="false" customHeight="true" outlineLevel="0" collapsed="false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customFormat="false" ht="15.75" hidden="false" customHeight="true" outlineLevel="0" collapsed="false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customFormat="false" ht="15.75" hidden="false" customHeight="true" outlineLevel="0" collapsed="false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customFormat="false" ht="15.75" hidden="false" customHeight="true" outlineLevel="0" collapsed="false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customFormat="false" ht="15.75" hidden="false" customHeight="true" outlineLevel="0" collapsed="false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customFormat="false" ht="15.75" hidden="false" customHeight="true" outlineLevel="0" collapsed="false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customFormat="false" ht="15.75" hidden="false" customHeight="true" outlineLevel="0" collapsed="false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customFormat="false" ht="15.75" hidden="false" customHeight="true" outlineLevel="0" collapsed="false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customFormat="false" ht="15.75" hidden="false" customHeight="true" outlineLevel="0" collapsed="false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customFormat="false" ht="15.75" hidden="false" customHeight="true" outlineLevel="0" collapsed="false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customFormat="false" ht="15.75" hidden="false" customHeight="true" outlineLevel="0" collapsed="false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customFormat="false" ht="15.75" hidden="false" customHeight="true" outlineLevel="0" collapsed="false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customFormat="false" ht="15.75" hidden="false" customHeight="true" outlineLevel="0" collapsed="false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customFormat="false" ht="15.75" hidden="false" customHeight="true" outlineLevel="0" collapsed="false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customFormat="false" ht="15.75" hidden="false" customHeight="true" outlineLevel="0" collapsed="false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customFormat="false" ht="15.75" hidden="false" customHeight="true" outlineLevel="0" collapsed="false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customFormat="false" ht="15.75" hidden="false" customHeight="true" outlineLevel="0" collapsed="false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customFormat="false" ht="15.75" hidden="false" customHeight="true" outlineLevel="0" collapsed="false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customFormat="false" ht="15.75" hidden="false" customHeight="true" outlineLevel="0" collapsed="false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customFormat="false" ht="15.75" hidden="false" customHeight="true" outlineLevel="0" collapsed="false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customFormat="false" ht="15.75" hidden="false" customHeight="true" outlineLevel="0" collapsed="false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customFormat="false" ht="15.75" hidden="false" customHeight="true" outlineLevel="0" collapsed="false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"15.75" hidden="false" customHeight="true" outlineLevel="0" collapsed="false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customFormat="false" ht="15.75" hidden="false" customHeight="true" outlineLevel="0" collapsed="false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customFormat="false" ht="15.75" hidden="false" customHeight="true" outlineLevel="0" collapsed="false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customFormat="false" ht="15.75" hidden="false" customHeight="true" outlineLevel="0" collapsed="false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customFormat="false" ht="15.75" hidden="false" customHeight="true" outlineLevel="0" collapsed="false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customFormat="false" ht="15.75" hidden="false" customHeight="true" outlineLevel="0" collapsed="false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customFormat="false" ht="15.75" hidden="false" customHeight="true" outlineLevel="0" collapsed="false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customFormat="false" ht="15.75" hidden="false" customHeight="true" outlineLevel="0" collapsed="false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customFormat="false" ht="15.75" hidden="false" customHeight="true" outlineLevel="0" collapsed="false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customFormat="false" ht="15.75" hidden="false" customHeight="true" outlineLevel="0" collapsed="false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customFormat="false" ht="15.75" hidden="false" customHeight="true" outlineLevel="0" collapsed="false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customFormat="false" ht="15.75" hidden="false" customHeight="true" outlineLevel="0" collapsed="false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customFormat="false" ht="15.75" hidden="false" customHeight="true" outlineLevel="0" collapsed="false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customFormat="false" ht="15.75" hidden="false" customHeight="true" outlineLevel="0" collapsed="false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customFormat="false" ht="15.75" hidden="false" customHeight="true" outlineLevel="0" collapsed="false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customFormat="false" ht="15.75" hidden="false" customHeight="true" outlineLevel="0" collapsed="false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customFormat="false" ht="15.75" hidden="false" customHeight="true" outlineLevel="0" collapsed="false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customFormat="false" ht="15.75" hidden="false" customHeight="true" outlineLevel="0" collapsed="false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customFormat="false" ht="15.75" hidden="false" customHeight="true" outlineLevel="0" collapsed="false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customFormat="false" ht="15.75" hidden="false" customHeight="true" outlineLevel="0" collapsed="false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customFormat="false" ht="15.75" hidden="false" customHeight="true" outlineLevel="0" collapsed="false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customFormat="false" ht="15.75" hidden="false" customHeight="true" outlineLevel="0" collapsed="false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customFormat="false" ht="15.75" hidden="false" customHeight="true" outlineLevel="0" collapsed="false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customFormat="false" ht="15.75" hidden="false" customHeight="true" outlineLevel="0" collapsed="false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mergeCells count="40">
    <mergeCell ref="A1:G1"/>
    <mergeCell ref="A2:G2"/>
    <mergeCell ref="A3:B3"/>
    <mergeCell ref="A4:B4"/>
    <mergeCell ref="A5:B5"/>
    <mergeCell ref="A6:B6"/>
    <mergeCell ref="B8:B10"/>
    <mergeCell ref="F8:F10"/>
    <mergeCell ref="J8:J10"/>
    <mergeCell ref="N8:N10"/>
    <mergeCell ref="R8:R10"/>
    <mergeCell ref="C14:C15"/>
    <mergeCell ref="D14:D15"/>
    <mergeCell ref="G14:G15"/>
    <mergeCell ref="H14:H15"/>
    <mergeCell ref="K14:K15"/>
    <mergeCell ref="L14:L15"/>
    <mergeCell ref="O14:O15"/>
    <mergeCell ref="P14:P15"/>
    <mergeCell ref="S14:S15"/>
    <mergeCell ref="T14:T15"/>
    <mergeCell ref="C16:C17"/>
    <mergeCell ref="D16:D17"/>
    <mergeCell ref="G16:G17"/>
    <mergeCell ref="H16:H17"/>
    <mergeCell ref="K16:K17"/>
    <mergeCell ref="L16:L17"/>
    <mergeCell ref="O16:O17"/>
    <mergeCell ref="P16:P17"/>
    <mergeCell ref="S16:S17"/>
    <mergeCell ref="T16:T17"/>
    <mergeCell ref="G20:J30"/>
    <mergeCell ref="L20:M20"/>
    <mergeCell ref="L21:M21"/>
    <mergeCell ref="L22:M22"/>
    <mergeCell ref="L23:M23"/>
    <mergeCell ref="L24:M24"/>
    <mergeCell ref="B28:C28"/>
    <mergeCell ref="B29:C29"/>
    <mergeCell ref="B30:C3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00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6" min="1" style="1" width="10.57"/>
    <col collapsed="false" customWidth="true" hidden="false" outlineLevel="0" max="7" min="7" style="1" width="3.15"/>
    <col collapsed="false" customWidth="true" hidden="false" outlineLevel="0" max="8" min="8" style="1" width="12.57"/>
    <col collapsed="false" customWidth="true" hidden="false" outlineLevel="0" max="9" min="9" style="1" width="3"/>
    <col collapsed="false" customWidth="true" hidden="false" outlineLevel="0" max="21" min="10" style="1" width="8.71"/>
    <col collapsed="false" customWidth="true" hidden="false" outlineLevel="0" max="22" min="22" style="1" width="12"/>
    <col collapsed="false" customWidth="true" hidden="false" outlineLevel="0" max="26" min="23" style="1" width="8.71"/>
  </cols>
  <sheetData>
    <row r="1" customFormat="false" ht="29.15" hidden="false" customHeight="false" outlineLevel="0" collapsed="false">
      <c r="A1" s="67" t="s">
        <v>129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8"/>
      <c r="U1" s="68"/>
      <c r="V1" s="68"/>
    </row>
    <row r="3" customFormat="false" ht="17.35" hidden="false" customHeight="false" outlineLevel="0" collapsed="false">
      <c r="A3" s="69" t="s">
        <v>130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70" t="s">
        <v>131</v>
      </c>
      <c r="U3" s="70"/>
      <c r="V3" s="70"/>
      <c r="W3" s="71" t="n">
        <f aca="false">U5+U11</f>
        <v>0</v>
      </c>
    </row>
    <row r="4" customFormat="false" ht="17.35" hidden="false" customHeight="false" outlineLevel="0" collapsed="false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</row>
    <row r="5" customFormat="false" ht="18.75" hidden="false" customHeight="true" outlineLevel="0" collapsed="false">
      <c r="A5" s="73" t="s">
        <v>132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4" t="s">
        <v>133</v>
      </c>
      <c r="U5" s="63"/>
    </row>
    <row r="6" customFormat="false" ht="18.75" hidden="false" customHeight="true" outlineLevel="0" collapsed="false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</row>
    <row r="7" customFormat="false" ht="18.75" hidden="false" customHeight="true" outlineLevel="0" collapsed="false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</row>
    <row r="8" customFormat="false" ht="18.75" hidden="false" customHeight="true" outlineLevel="0" collapsed="false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</row>
    <row r="9" customFormat="false" ht="18.75" hidden="false" customHeight="true" outlineLevel="0" collapsed="false">
      <c r="A9" s="76"/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</row>
    <row r="10" customFormat="false" ht="18" hidden="false" customHeight="true" outlineLevel="0" collapsed="false">
      <c r="A10" s="77"/>
      <c r="B10" s="77"/>
    </row>
    <row r="11" customFormat="false" ht="16.5" hidden="false" customHeight="true" outlineLevel="0" collapsed="false">
      <c r="A11" s="73" t="s">
        <v>134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4" t="s">
        <v>135</v>
      </c>
      <c r="U11" s="63"/>
    </row>
    <row r="12" customFormat="false" ht="18.75" hidden="false" customHeight="true" outlineLevel="0" collapsed="false">
      <c r="A12" s="75" t="s">
        <v>136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</row>
    <row r="13" customFormat="false" ht="18.75" hidden="false" customHeight="true" outlineLevel="0" collapsed="false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</row>
    <row r="14" customFormat="false" ht="18.75" hidden="false" customHeight="true" outlineLevel="0" collapsed="false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</row>
    <row r="15" customFormat="false" ht="18.75" hidden="false" customHeight="true" outlineLevel="0" collapsed="false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7">
    <mergeCell ref="A1:S1"/>
    <mergeCell ref="A3:S3"/>
    <mergeCell ref="T3:V3"/>
    <mergeCell ref="A5:S5"/>
    <mergeCell ref="A6:S8"/>
    <mergeCell ref="A11:S11"/>
    <mergeCell ref="A12:S1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outlinePr summaryBelow="0"/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4" min="4" style="1" width="111.14"/>
  </cols>
  <sheetData>
    <row r="1" customFormat="false" ht="15" hidden="false" customHeight="true" outlineLevel="0" collapsed="false">
      <c r="A1" s="78" t="s">
        <v>137</v>
      </c>
      <c r="B1" s="78"/>
      <c r="C1" s="78"/>
      <c r="D1" s="78"/>
      <c r="E1" s="78"/>
      <c r="F1" s="78"/>
      <c r="G1" s="78"/>
      <c r="H1" s="78"/>
      <c r="I1" s="78"/>
      <c r="J1" s="79"/>
      <c r="K1" s="79"/>
      <c r="L1" s="79"/>
      <c r="M1" s="79"/>
      <c r="N1" s="79"/>
      <c r="O1" s="79"/>
      <c r="P1" s="79"/>
      <c r="Q1" s="79"/>
      <c r="R1" s="79"/>
      <c r="S1" s="77"/>
      <c r="T1" s="77"/>
      <c r="U1" s="77"/>
      <c r="V1" s="77"/>
      <c r="W1" s="77"/>
      <c r="X1" s="77"/>
      <c r="Y1" s="77"/>
      <c r="Z1" s="77"/>
    </row>
    <row r="2" customFormat="false" ht="15" hidden="false" customHeight="true" outlineLevel="0" collapsed="false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</row>
    <row r="3" customFormat="false" ht="15" hidden="false" customHeight="true" outlineLevel="0" collapsed="false">
      <c r="A3" s="80" t="s">
        <v>138</v>
      </c>
      <c r="B3" s="80"/>
      <c r="C3" s="80"/>
      <c r="D3" s="80"/>
      <c r="E3" s="81" t="s">
        <v>139</v>
      </c>
      <c r="F3" s="81"/>
      <c r="G3" s="82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</row>
    <row r="4" customFormat="false" ht="15" hidden="false" customHeight="true" outlineLevel="0" collapsed="false">
      <c r="A4" s="83"/>
      <c r="B4" s="83"/>
      <c r="C4" s="83"/>
      <c r="D4" s="83"/>
      <c r="E4" s="84"/>
      <c r="F4" s="84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</row>
    <row r="5" customFormat="false" ht="15" hidden="false" customHeight="true" outlineLevel="0" collapsed="false">
      <c r="A5" s="83"/>
      <c r="B5" s="83"/>
      <c r="C5" s="83"/>
      <c r="D5" s="83"/>
      <c r="E5" s="84"/>
      <c r="F5" s="84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</row>
    <row r="6" customFormat="false" ht="15" hidden="false" customHeight="true" outlineLevel="0" collapsed="false">
      <c r="A6" s="83"/>
      <c r="B6" s="83"/>
      <c r="C6" s="83"/>
      <c r="D6" s="83"/>
      <c r="E6" s="84"/>
      <c r="F6" s="84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</row>
    <row r="7" customFormat="false" ht="15" hidden="false" customHeight="true" outlineLevel="0" collapsed="false">
      <c r="A7" s="83"/>
      <c r="B7" s="83"/>
      <c r="C7" s="83"/>
      <c r="D7" s="83"/>
      <c r="E7" s="84"/>
      <c r="F7" s="84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</row>
    <row r="8" customFormat="false" ht="15" hidden="false" customHeight="true" outlineLevel="0" collapsed="false">
      <c r="A8" s="83"/>
      <c r="B8" s="83"/>
      <c r="C8" s="83"/>
      <c r="D8" s="83"/>
      <c r="E8" s="84"/>
      <c r="F8" s="84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</row>
    <row r="9" customFormat="false" ht="15" hidden="false" customHeight="true" outlineLevel="0" collapsed="false">
      <c r="A9" s="83"/>
      <c r="B9" s="83"/>
      <c r="C9" s="83"/>
      <c r="D9" s="83"/>
      <c r="E9" s="84"/>
      <c r="F9" s="84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</row>
    <row r="10" customFormat="false" ht="15" hidden="false" customHeight="true" outlineLevel="0" collapsed="false">
      <c r="A10" s="83"/>
      <c r="B10" s="83"/>
      <c r="C10" s="83"/>
      <c r="D10" s="83"/>
      <c r="E10" s="84"/>
      <c r="F10" s="84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</row>
    <row r="11" customFormat="false" ht="15" hidden="false" customHeight="true" outlineLevel="0" collapsed="false">
      <c r="A11" s="83"/>
      <c r="B11" s="83"/>
      <c r="C11" s="83"/>
      <c r="D11" s="83"/>
      <c r="E11" s="84"/>
      <c r="F11" s="84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</row>
    <row r="12" customFormat="false" ht="15" hidden="false" customHeight="true" outlineLevel="0" collapsed="false">
      <c r="A12" s="83"/>
      <c r="B12" s="83"/>
      <c r="C12" s="83"/>
      <c r="D12" s="83"/>
      <c r="E12" s="84"/>
      <c r="F12" s="84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</row>
    <row r="13" customFormat="false" ht="15" hidden="false" customHeight="true" outlineLevel="0" collapsed="false">
      <c r="A13" s="83"/>
      <c r="B13" s="83"/>
      <c r="C13" s="83"/>
      <c r="D13" s="83"/>
      <c r="E13" s="84"/>
      <c r="F13" s="84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</row>
    <row r="14" customFormat="false" ht="15" hidden="false" customHeight="true" outlineLevel="0" collapsed="false">
      <c r="A14" s="83"/>
      <c r="B14" s="83"/>
      <c r="C14" s="83"/>
      <c r="D14" s="83"/>
      <c r="E14" s="84"/>
      <c r="F14" s="84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</row>
    <row r="15" customFormat="false" ht="15" hidden="false" customHeight="true" outlineLevel="0" collapsed="false">
      <c r="A15" s="83"/>
      <c r="B15" s="83"/>
      <c r="C15" s="83"/>
      <c r="D15" s="83"/>
      <c r="E15" s="84"/>
      <c r="F15" s="84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</row>
    <row r="16" customFormat="false" ht="17.35" hidden="false" customHeight="false" outlineLevel="0" collapsed="false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</row>
    <row r="17" customFormat="false" ht="17.35" hidden="false" customHeight="false" outlineLevel="0" collapsed="false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</row>
    <row r="18" customFormat="false" ht="15" hidden="false" customHeight="true" outlineLevel="0" collapsed="false">
      <c r="A18" s="80" t="s">
        <v>140</v>
      </c>
      <c r="B18" s="80"/>
      <c r="C18" s="80"/>
      <c r="D18" s="80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</row>
    <row r="19" customFormat="false" ht="15" hidden="false" customHeight="true" outlineLevel="0" collapsed="false">
      <c r="A19" s="83"/>
      <c r="B19" s="83"/>
      <c r="C19" s="83"/>
      <c r="D19" s="83"/>
      <c r="E19" s="84"/>
      <c r="F19" s="84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</row>
    <row r="20" customFormat="false" ht="15" hidden="false" customHeight="true" outlineLevel="0" collapsed="false">
      <c r="A20" s="83"/>
      <c r="B20" s="83"/>
      <c r="C20" s="83"/>
      <c r="D20" s="83"/>
      <c r="E20" s="84"/>
      <c r="F20" s="84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</row>
    <row r="21" customFormat="false" ht="15" hidden="false" customHeight="true" outlineLevel="0" collapsed="false">
      <c r="A21" s="83"/>
      <c r="B21" s="83"/>
      <c r="C21" s="83"/>
      <c r="D21" s="83"/>
      <c r="E21" s="84"/>
      <c r="F21" s="84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</row>
    <row r="22" customFormat="false" ht="15" hidden="false" customHeight="true" outlineLevel="0" collapsed="false">
      <c r="A22" s="83"/>
      <c r="B22" s="83"/>
      <c r="C22" s="83"/>
      <c r="D22" s="83"/>
      <c r="E22" s="84"/>
      <c r="F22" s="84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</row>
    <row r="23" customFormat="false" ht="15" hidden="false" customHeight="true" outlineLevel="0" collapsed="false">
      <c r="A23" s="83"/>
      <c r="B23" s="83"/>
      <c r="C23" s="83"/>
      <c r="D23" s="83"/>
      <c r="E23" s="84"/>
      <c r="F23" s="84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</row>
    <row r="24" customFormat="false" ht="15" hidden="false" customHeight="true" outlineLevel="0" collapsed="false">
      <c r="A24" s="83"/>
      <c r="B24" s="83"/>
      <c r="C24" s="83"/>
      <c r="D24" s="83"/>
      <c r="E24" s="84"/>
      <c r="F24" s="84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</row>
    <row r="25" customFormat="false" ht="15" hidden="false" customHeight="true" outlineLevel="0" collapsed="false">
      <c r="A25" s="83"/>
      <c r="B25" s="83"/>
      <c r="C25" s="83"/>
      <c r="D25" s="83"/>
      <c r="E25" s="84"/>
      <c r="F25" s="84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</row>
    <row r="26" customFormat="false" ht="15" hidden="false" customHeight="true" outlineLevel="0" collapsed="false">
      <c r="A26" s="83"/>
      <c r="B26" s="83"/>
      <c r="C26" s="83"/>
      <c r="D26" s="83"/>
      <c r="E26" s="84"/>
      <c r="F26" s="84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</row>
    <row r="27" customFormat="false" ht="15" hidden="false" customHeight="true" outlineLevel="0" collapsed="false">
      <c r="A27" s="83"/>
      <c r="B27" s="83"/>
      <c r="C27" s="83"/>
      <c r="D27" s="83"/>
      <c r="E27" s="84"/>
      <c r="F27" s="84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</row>
    <row r="28" customFormat="false" ht="15" hidden="false" customHeight="true" outlineLevel="0" collapsed="false">
      <c r="A28" s="83"/>
      <c r="B28" s="83"/>
      <c r="C28" s="83"/>
      <c r="D28" s="83"/>
      <c r="E28" s="84"/>
      <c r="F28" s="84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</row>
    <row r="29" customFormat="false" ht="15" hidden="false" customHeight="true" outlineLevel="0" collapsed="false">
      <c r="A29" s="83"/>
      <c r="B29" s="83"/>
      <c r="C29" s="83"/>
      <c r="D29" s="83"/>
      <c r="E29" s="84"/>
      <c r="F29" s="84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</row>
    <row r="30" customFormat="false" ht="15" hidden="false" customHeight="true" outlineLevel="0" collapsed="false">
      <c r="A30" s="83"/>
      <c r="B30" s="83"/>
      <c r="C30" s="83"/>
      <c r="D30" s="83"/>
      <c r="E30" s="84"/>
      <c r="F30" s="84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</row>
    <row r="31" customFormat="false" ht="15" hidden="false" customHeight="true" outlineLevel="0" collapsed="false">
      <c r="A31" s="83"/>
      <c r="B31" s="83"/>
      <c r="C31" s="83"/>
      <c r="D31" s="83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</row>
    <row r="32" customFormat="false" ht="15.75" hidden="false" customHeight="true" outlineLevel="0" collapsed="false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</row>
    <row r="33" customFormat="false" ht="15.75" hidden="false" customHeight="true" outlineLevel="0" collapsed="false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</row>
    <row r="34" customFormat="false" ht="15" hidden="false" customHeight="true" outlineLevel="0" collapsed="false">
      <c r="A34" s="80" t="s">
        <v>141</v>
      </c>
      <c r="B34" s="80"/>
      <c r="C34" s="80"/>
      <c r="D34" s="80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</row>
    <row r="35" customFormat="false" ht="15" hidden="false" customHeight="true" outlineLevel="0" collapsed="false">
      <c r="A35" s="83"/>
      <c r="B35" s="83"/>
      <c r="C35" s="83"/>
      <c r="D35" s="83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</row>
    <row r="36" customFormat="false" ht="15" hidden="false" customHeight="true" outlineLevel="0" collapsed="false">
      <c r="A36" s="83"/>
      <c r="B36" s="83"/>
      <c r="C36" s="83"/>
      <c r="D36" s="83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</row>
    <row r="37" customFormat="false" ht="15" hidden="false" customHeight="true" outlineLevel="0" collapsed="false">
      <c r="A37" s="83"/>
      <c r="B37" s="83"/>
      <c r="C37" s="83"/>
      <c r="D37" s="83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</row>
    <row r="38" customFormat="false" ht="15" hidden="false" customHeight="true" outlineLevel="0" collapsed="false">
      <c r="A38" s="83"/>
      <c r="B38" s="83"/>
      <c r="C38" s="83"/>
      <c r="D38" s="83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</row>
    <row r="39" customFormat="false" ht="15" hidden="false" customHeight="true" outlineLevel="0" collapsed="false">
      <c r="A39" s="83"/>
      <c r="B39" s="83"/>
      <c r="C39" s="83"/>
      <c r="D39" s="83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</row>
    <row r="40" customFormat="false" ht="15" hidden="false" customHeight="true" outlineLevel="0" collapsed="false">
      <c r="A40" s="83"/>
      <c r="B40" s="83"/>
      <c r="C40" s="83"/>
      <c r="D40" s="83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</row>
    <row r="41" customFormat="false" ht="15" hidden="false" customHeight="true" outlineLevel="0" collapsed="false">
      <c r="A41" s="83"/>
      <c r="B41" s="83"/>
      <c r="C41" s="83"/>
      <c r="D41" s="83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</row>
    <row r="42" customFormat="false" ht="15" hidden="false" customHeight="true" outlineLevel="0" collapsed="false">
      <c r="A42" s="83"/>
      <c r="B42" s="83"/>
      <c r="C42" s="83"/>
      <c r="D42" s="83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</row>
    <row r="43" customFormat="false" ht="15" hidden="false" customHeight="true" outlineLevel="0" collapsed="false">
      <c r="A43" s="83"/>
      <c r="B43" s="83"/>
      <c r="C43" s="83"/>
      <c r="D43" s="83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</row>
    <row r="44" customFormat="false" ht="15" hidden="false" customHeight="true" outlineLevel="0" collapsed="false">
      <c r="A44" s="83"/>
      <c r="B44" s="83"/>
      <c r="C44" s="83"/>
      <c r="D44" s="83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</row>
    <row r="45" customFormat="false" ht="15" hidden="false" customHeight="true" outlineLevel="0" collapsed="false">
      <c r="A45" s="83"/>
      <c r="B45" s="83"/>
      <c r="C45" s="83"/>
      <c r="D45" s="83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</row>
    <row r="46" customFormat="false" ht="15" hidden="false" customHeight="true" outlineLevel="0" collapsed="false">
      <c r="A46" s="83"/>
      <c r="B46" s="83"/>
      <c r="C46" s="83"/>
      <c r="D46" s="83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</row>
    <row r="47" customFormat="false" ht="15" hidden="false" customHeight="true" outlineLevel="0" collapsed="false">
      <c r="A47" s="83"/>
      <c r="B47" s="83"/>
      <c r="C47" s="83"/>
      <c r="D47" s="83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</row>
    <row r="48" customFormat="false" ht="15.75" hidden="false" customHeight="true" outlineLevel="0" collapsed="false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</row>
    <row r="49" customFormat="false" ht="15.75" hidden="false" customHeight="true" outlineLevel="0" collapsed="false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</row>
    <row r="50" customFormat="false" ht="15" hidden="false" customHeight="true" outlineLevel="0" collapsed="false">
      <c r="A50" s="80" t="s">
        <v>142</v>
      </c>
      <c r="B50" s="80"/>
      <c r="C50" s="80"/>
      <c r="D50" s="80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</row>
    <row r="51" customFormat="false" ht="15" hidden="false" customHeight="true" outlineLevel="0" collapsed="false">
      <c r="A51" s="85"/>
      <c r="B51" s="85"/>
      <c r="C51" s="85"/>
      <c r="D51" s="85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</row>
    <row r="52" customFormat="false" ht="15" hidden="false" customHeight="true" outlineLevel="0" collapsed="false">
      <c r="A52" s="85"/>
      <c r="B52" s="85"/>
      <c r="C52" s="85"/>
      <c r="D52" s="85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</row>
    <row r="53" customFormat="false" ht="15" hidden="false" customHeight="true" outlineLevel="0" collapsed="false">
      <c r="A53" s="85"/>
      <c r="B53" s="85"/>
      <c r="C53" s="85"/>
      <c r="D53" s="85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</row>
    <row r="54" customFormat="false" ht="15" hidden="false" customHeight="true" outlineLevel="0" collapsed="false">
      <c r="A54" s="85"/>
      <c r="B54" s="85"/>
      <c r="C54" s="85"/>
      <c r="D54" s="85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</row>
    <row r="55" customFormat="false" ht="15" hidden="false" customHeight="true" outlineLevel="0" collapsed="false">
      <c r="A55" s="85"/>
      <c r="B55" s="85"/>
      <c r="C55" s="85"/>
      <c r="D55" s="85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</row>
    <row r="56" customFormat="false" ht="15" hidden="false" customHeight="true" outlineLevel="0" collapsed="false">
      <c r="A56" s="85"/>
      <c r="B56" s="85"/>
      <c r="C56" s="85"/>
      <c r="D56" s="85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</row>
    <row r="57" customFormat="false" ht="15" hidden="false" customHeight="true" outlineLevel="0" collapsed="false">
      <c r="A57" s="85"/>
      <c r="B57" s="85"/>
      <c r="C57" s="85"/>
      <c r="D57" s="85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</row>
    <row r="58" customFormat="false" ht="15" hidden="false" customHeight="true" outlineLevel="0" collapsed="false">
      <c r="A58" s="85"/>
      <c r="B58" s="85"/>
      <c r="C58" s="85"/>
      <c r="D58" s="85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</row>
    <row r="59" customFormat="false" ht="15" hidden="false" customHeight="true" outlineLevel="0" collapsed="false">
      <c r="A59" s="85"/>
      <c r="B59" s="85"/>
      <c r="C59" s="85"/>
      <c r="D59" s="85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</row>
    <row r="60" customFormat="false" ht="15" hidden="false" customHeight="true" outlineLevel="0" collapsed="false">
      <c r="A60" s="85"/>
      <c r="B60" s="85"/>
      <c r="C60" s="85"/>
      <c r="D60" s="85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</row>
    <row r="61" customFormat="false" ht="15" hidden="false" customHeight="true" outlineLevel="0" collapsed="false">
      <c r="A61" s="85"/>
      <c r="B61" s="85"/>
      <c r="C61" s="85"/>
      <c r="D61" s="85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</row>
    <row r="62" customFormat="false" ht="15" hidden="false" customHeight="true" outlineLevel="0" collapsed="false">
      <c r="A62" s="85"/>
      <c r="B62" s="85"/>
      <c r="C62" s="85"/>
      <c r="D62" s="85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</row>
    <row r="63" customFormat="false" ht="15.75" hidden="false" customHeight="true" outlineLevel="0" collapsed="false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</row>
    <row r="64" customFormat="false" ht="15.75" hidden="false" customHeight="true" outlineLevel="0" collapsed="false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</row>
    <row r="65" customFormat="false" ht="15.75" hidden="false" customHeight="true" outlineLevel="0" collapsed="false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</row>
    <row r="66" customFormat="false" ht="15.75" hidden="false" customHeight="true" outlineLevel="0" collapsed="false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</row>
    <row r="67" customFormat="false" ht="15.75" hidden="false" customHeight="true" outlineLevel="0" collapsed="false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</row>
    <row r="68" customFormat="false" ht="15.75" hidden="false" customHeight="true" outlineLevel="0" collapsed="false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</row>
    <row r="69" customFormat="false" ht="15.75" hidden="false" customHeight="true" outlineLevel="0" collapsed="false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</row>
    <row r="70" customFormat="false" ht="15.75" hidden="false" customHeight="true" outlineLevel="0" collapsed="false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</row>
    <row r="71" customFormat="false" ht="15.75" hidden="false" customHeight="true" outlineLevel="0" collapsed="false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</row>
    <row r="72" customFormat="false" ht="15.75" hidden="false" customHeight="true" outlineLevel="0" collapsed="false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</row>
    <row r="73" customFormat="false" ht="15.75" hidden="false" customHeight="true" outlineLevel="0" collapsed="false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</row>
    <row r="74" customFormat="false" ht="15.75" hidden="false" customHeight="true" outlineLevel="0" collapsed="false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</row>
    <row r="75" customFormat="false" ht="15.75" hidden="false" customHeight="true" outlineLevel="0" collapsed="false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</row>
    <row r="76" customFormat="false" ht="15.75" hidden="false" customHeight="true" outlineLevel="0" collapsed="false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</row>
    <row r="77" customFormat="false" ht="15.75" hidden="false" customHeight="true" outlineLevel="0" collapsed="false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</row>
    <row r="78" customFormat="false" ht="15.75" hidden="false" customHeight="true" outlineLevel="0" collapsed="false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</row>
    <row r="79" customFormat="false" ht="15.75" hidden="false" customHeight="true" outlineLevel="0" collapsed="false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</row>
    <row r="80" customFormat="false" ht="15.75" hidden="false" customHeight="true" outlineLevel="0" collapsed="false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</row>
    <row r="81" customFormat="false" ht="15.75" hidden="false" customHeight="true" outlineLevel="0" collapsed="false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</row>
    <row r="82" customFormat="false" ht="15.75" hidden="false" customHeight="true" outlineLevel="0" collapsed="false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</row>
    <row r="83" customFormat="false" ht="15.75" hidden="false" customHeight="true" outlineLevel="0" collapsed="false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</row>
    <row r="84" customFormat="false" ht="15.75" hidden="false" customHeight="true" outlineLevel="0" collapsed="false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</row>
    <row r="85" customFormat="false" ht="15.75" hidden="false" customHeight="true" outlineLevel="0" collapsed="false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</row>
    <row r="86" customFormat="false" ht="15.75" hidden="false" customHeight="true" outlineLevel="0" collapsed="false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</row>
    <row r="87" customFormat="false" ht="15.75" hidden="false" customHeight="true" outlineLevel="0" collapsed="false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</row>
    <row r="88" customFormat="false" ht="15.75" hidden="false" customHeight="true" outlineLevel="0" collapsed="false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</row>
    <row r="89" customFormat="false" ht="15.75" hidden="false" customHeight="true" outlineLevel="0" collapsed="false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</row>
    <row r="90" customFormat="false" ht="15.75" hidden="false" customHeight="true" outlineLevel="0" collapsed="false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</row>
    <row r="91" customFormat="false" ht="15.75" hidden="false" customHeight="true" outlineLevel="0" collapsed="false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</row>
    <row r="92" customFormat="false" ht="15.75" hidden="false" customHeight="true" outlineLevel="0" collapsed="false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</row>
    <row r="93" customFormat="false" ht="15.75" hidden="false" customHeight="true" outlineLevel="0" collapsed="false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</row>
    <row r="94" customFormat="false" ht="15.75" hidden="false" customHeight="true" outlineLevel="0" collapsed="false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</row>
    <row r="95" customFormat="false" ht="15.75" hidden="false" customHeight="true" outlineLevel="0" collapsed="false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</row>
    <row r="96" customFormat="false" ht="15.75" hidden="false" customHeight="true" outlineLevel="0" collapsed="false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</row>
    <row r="97" customFormat="false" ht="15.75" hidden="false" customHeight="true" outlineLevel="0" collapsed="false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</row>
    <row r="98" customFormat="false" ht="15.75" hidden="false" customHeight="true" outlineLevel="0" collapsed="false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</row>
    <row r="99" customFormat="false" ht="15.75" hidden="false" customHeight="true" outlineLevel="0" collapsed="false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</row>
    <row r="100" customFormat="false" ht="15.75" hidden="false" customHeight="true" outlineLevel="0" collapsed="false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</row>
    <row r="101" customFormat="false" ht="15.75" hidden="false" customHeight="true" outlineLevel="0" collapsed="false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</row>
    <row r="102" customFormat="false" ht="15.75" hidden="false" customHeight="true" outlineLevel="0" collapsed="false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</row>
    <row r="103" customFormat="false" ht="15.75" hidden="false" customHeight="true" outlineLevel="0" collapsed="false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</row>
    <row r="104" customFormat="false" ht="15.75" hidden="false" customHeight="true" outlineLevel="0" collapsed="false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</row>
    <row r="105" customFormat="false" ht="15.75" hidden="false" customHeight="true" outlineLevel="0" collapsed="false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</row>
    <row r="106" customFormat="false" ht="15.75" hidden="false" customHeight="true" outlineLevel="0" collapsed="false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</row>
    <row r="107" customFormat="false" ht="15.75" hidden="false" customHeight="true" outlineLevel="0" collapsed="false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</row>
    <row r="108" customFormat="false" ht="15.75" hidden="false" customHeight="true" outlineLevel="0" collapsed="false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</row>
    <row r="109" customFormat="false" ht="15.75" hidden="false" customHeight="true" outlineLevel="0" collapsed="false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</row>
    <row r="110" customFormat="false" ht="15.75" hidden="false" customHeight="true" outlineLevel="0" collapsed="false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</row>
    <row r="111" customFormat="false" ht="15.75" hidden="false" customHeight="true" outlineLevel="0" collapsed="false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</row>
    <row r="112" customFormat="false" ht="15.75" hidden="false" customHeight="true" outlineLevel="0" collapsed="false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</row>
    <row r="113" customFormat="false" ht="15.75" hidden="false" customHeight="true" outlineLevel="0" collapsed="false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</row>
    <row r="114" customFormat="false" ht="15.75" hidden="false" customHeight="true" outlineLevel="0" collapsed="false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</row>
    <row r="115" customFormat="false" ht="15.75" hidden="false" customHeight="true" outlineLevel="0" collapsed="false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</row>
    <row r="116" customFormat="false" ht="15.75" hidden="false" customHeight="true" outlineLevel="0" collapsed="false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</row>
    <row r="117" customFormat="false" ht="15.75" hidden="false" customHeight="true" outlineLevel="0" collapsed="false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</row>
    <row r="118" customFormat="false" ht="15.75" hidden="false" customHeight="true" outlineLevel="0" collapsed="false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</row>
    <row r="119" customFormat="false" ht="15.75" hidden="false" customHeight="true" outlineLevel="0" collapsed="false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</row>
    <row r="120" customFormat="false" ht="15.75" hidden="false" customHeight="true" outlineLevel="0" collapsed="false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</row>
    <row r="121" customFormat="false" ht="15.75" hidden="false" customHeight="true" outlineLevel="0" collapsed="false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</row>
    <row r="122" customFormat="false" ht="15.75" hidden="false" customHeight="true" outlineLevel="0" collapsed="false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</row>
    <row r="123" customFormat="false" ht="15.75" hidden="false" customHeight="true" outlineLevel="0" collapsed="false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</row>
    <row r="124" customFormat="false" ht="15.75" hidden="false" customHeight="true" outlineLevel="0" collapsed="false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</row>
    <row r="125" customFormat="false" ht="15.75" hidden="false" customHeight="true" outlineLevel="0" collapsed="false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</row>
    <row r="126" customFormat="false" ht="15.75" hidden="false" customHeight="true" outlineLevel="0" collapsed="false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</row>
    <row r="127" customFormat="false" ht="15.75" hidden="false" customHeight="true" outlineLevel="0" collapsed="false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</row>
    <row r="128" customFormat="false" ht="15.75" hidden="false" customHeight="true" outlineLevel="0" collapsed="false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</row>
    <row r="129" customFormat="false" ht="15.75" hidden="false" customHeight="true" outlineLevel="0" collapsed="false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</row>
    <row r="130" customFormat="false" ht="15.75" hidden="false" customHeight="true" outlineLevel="0" collapsed="false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</row>
    <row r="131" customFormat="false" ht="15.75" hidden="false" customHeight="true" outlineLevel="0" collapsed="false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</row>
    <row r="132" customFormat="false" ht="15.75" hidden="false" customHeight="true" outlineLevel="0" collapsed="false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</row>
    <row r="133" customFormat="false" ht="15.75" hidden="false" customHeight="true" outlineLevel="0" collapsed="false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</row>
    <row r="134" customFormat="false" ht="15.75" hidden="false" customHeight="true" outlineLevel="0" collapsed="false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</row>
    <row r="135" customFormat="false" ht="15.75" hidden="false" customHeight="true" outlineLevel="0" collapsed="false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</row>
    <row r="136" customFormat="false" ht="15.75" hidden="false" customHeight="true" outlineLevel="0" collapsed="false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</row>
    <row r="137" customFormat="false" ht="15.75" hidden="false" customHeight="true" outlineLevel="0" collapsed="false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</row>
    <row r="138" customFormat="false" ht="15.75" hidden="false" customHeight="true" outlineLevel="0" collapsed="false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</row>
    <row r="139" customFormat="false" ht="15.75" hidden="false" customHeight="true" outlineLevel="0" collapsed="false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</row>
    <row r="140" customFormat="false" ht="15.75" hidden="false" customHeight="true" outlineLevel="0" collapsed="false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</row>
    <row r="141" customFormat="false" ht="15.75" hidden="false" customHeight="true" outlineLevel="0" collapsed="false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</row>
    <row r="142" customFormat="false" ht="15.75" hidden="false" customHeight="true" outlineLevel="0" collapsed="false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</row>
    <row r="143" customFormat="false" ht="15.75" hidden="false" customHeight="true" outlineLevel="0" collapsed="false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</row>
    <row r="144" customFormat="false" ht="15.75" hidden="false" customHeight="true" outlineLevel="0" collapsed="false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</row>
    <row r="145" customFormat="false" ht="15.75" hidden="false" customHeight="true" outlineLevel="0" collapsed="false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</row>
    <row r="146" customFormat="false" ht="15.75" hidden="false" customHeight="true" outlineLevel="0" collapsed="false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</row>
    <row r="147" customFormat="false" ht="15.75" hidden="false" customHeight="true" outlineLevel="0" collapsed="false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</row>
    <row r="148" customFormat="false" ht="15.75" hidden="false" customHeight="true" outlineLevel="0" collapsed="false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</row>
    <row r="149" customFormat="false" ht="15.75" hidden="false" customHeight="true" outlineLevel="0" collapsed="false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</row>
    <row r="150" customFormat="false" ht="15.75" hidden="false" customHeight="true" outlineLevel="0" collapsed="false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</row>
    <row r="151" customFormat="false" ht="15.75" hidden="false" customHeight="true" outlineLevel="0" collapsed="false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</row>
    <row r="152" customFormat="false" ht="15.75" hidden="false" customHeight="true" outlineLevel="0" collapsed="false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</row>
    <row r="153" customFormat="false" ht="15.75" hidden="false" customHeight="true" outlineLevel="0" collapsed="false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</row>
    <row r="154" customFormat="false" ht="15.75" hidden="false" customHeight="true" outlineLevel="0" collapsed="false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</row>
    <row r="155" customFormat="false" ht="15.75" hidden="false" customHeight="true" outlineLevel="0" collapsed="false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</row>
    <row r="156" customFormat="false" ht="15.75" hidden="false" customHeight="true" outlineLevel="0" collapsed="false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</row>
    <row r="157" customFormat="false" ht="15.75" hidden="false" customHeight="true" outlineLevel="0" collapsed="false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</row>
    <row r="158" customFormat="false" ht="15.75" hidden="false" customHeight="true" outlineLevel="0" collapsed="false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</row>
    <row r="159" customFormat="false" ht="15.75" hidden="false" customHeight="true" outlineLevel="0" collapsed="false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</row>
    <row r="160" customFormat="false" ht="15.75" hidden="false" customHeight="true" outlineLevel="0" collapsed="false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</row>
    <row r="161" customFormat="false" ht="15.75" hidden="false" customHeight="true" outlineLevel="0" collapsed="false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</row>
    <row r="162" customFormat="false" ht="15.75" hidden="false" customHeight="true" outlineLevel="0" collapsed="false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</row>
    <row r="163" customFormat="false" ht="15.75" hidden="false" customHeight="true" outlineLevel="0" collapsed="false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</row>
    <row r="164" customFormat="false" ht="15.75" hidden="false" customHeight="true" outlineLevel="0" collapsed="false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</row>
    <row r="165" customFormat="false" ht="15.75" hidden="false" customHeight="true" outlineLevel="0" collapsed="false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</row>
    <row r="166" customFormat="false" ht="15.75" hidden="false" customHeight="true" outlineLevel="0" collapsed="false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</row>
    <row r="167" customFormat="false" ht="15.75" hidden="false" customHeight="true" outlineLevel="0" collapsed="false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</row>
    <row r="168" customFormat="false" ht="15.75" hidden="false" customHeight="true" outlineLevel="0" collapsed="false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</row>
    <row r="169" customFormat="false" ht="15.75" hidden="false" customHeight="true" outlineLevel="0" collapsed="false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</row>
    <row r="170" customFormat="false" ht="15.75" hidden="false" customHeight="true" outlineLevel="0" collapsed="false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</row>
    <row r="171" customFormat="false" ht="15.75" hidden="false" customHeight="true" outlineLevel="0" collapsed="false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</row>
    <row r="172" customFormat="false" ht="15.75" hidden="false" customHeight="true" outlineLevel="0" collapsed="false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</row>
    <row r="173" customFormat="false" ht="15.75" hidden="false" customHeight="true" outlineLevel="0" collapsed="false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</row>
    <row r="174" customFormat="false" ht="15.75" hidden="false" customHeight="true" outlineLevel="0" collapsed="false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</row>
    <row r="175" customFormat="false" ht="15.75" hidden="false" customHeight="true" outlineLevel="0" collapsed="false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</row>
    <row r="176" customFormat="false" ht="15.75" hidden="false" customHeight="true" outlineLevel="0" collapsed="false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</row>
    <row r="177" customFormat="false" ht="15.75" hidden="false" customHeight="true" outlineLevel="0" collapsed="false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</row>
    <row r="178" customFormat="false" ht="15.75" hidden="false" customHeight="true" outlineLevel="0" collapsed="false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</row>
    <row r="179" customFormat="false" ht="15.75" hidden="false" customHeight="true" outlineLevel="0" collapsed="false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</row>
    <row r="180" customFormat="false" ht="15.75" hidden="false" customHeight="true" outlineLevel="0" collapsed="false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</row>
    <row r="181" customFormat="false" ht="15.75" hidden="false" customHeight="true" outlineLevel="0" collapsed="false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</row>
    <row r="182" customFormat="false" ht="15.75" hidden="false" customHeight="true" outlineLevel="0" collapsed="false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</row>
    <row r="183" customFormat="false" ht="15.75" hidden="false" customHeight="true" outlineLevel="0" collapsed="false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</row>
    <row r="184" customFormat="false" ht="15.75" hidden="false" customHeight="true" outlineLevel="0" collapsed="false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</row>
    <row r="185" customFormat="false" ht="15.75" hidden="false" customHeight="true" outlineLevel="0" collapsed="false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</row>
    <row r="186" customFormat="false" ht="15.75" hidden="false" customHeight="true" outlineLevel="0" collapsed="false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</row>
    <row r="187" customFormat="false" ht="15.75" hidden="false" customHeight="true" outlineLevel="0" collapsed="false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</row>
    <row r="188" customFormat="false" ht="15.75" hidden="false" customHeight="true" outlineLevel="0" collapsed="false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</row>
    <row r="189" customFormat="false" ht="15.75" hidden="false" customHeight="true" outlineLevel="0" collapsed="false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</row>
    <row r="190" customFormat="false" ht="15.75" hidden="false" customHeight="true" outlineLevel="0" collapsed="false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</row>
    <row r="191" customFormat="false" ht="15.75" hidden="false" customHeight="true" outlineLevel="0" collapsed="false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</row>
    <row r="192" customFormat="false" ht="15.75" hidden="false" customHeight="true" outlineLevel="0" collapsed="false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</row>
    <row r="193" customFormat="false" ht="15.75" hidden="false" customHeight="true" outlineLevel="0" collapsed="false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</row>
    <row r="194" customFormat="false" ht="15.75" hidden="false" customHeight="true" outlineLevel="0" collapsed="false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</row>
    <row r="195" customFormat="false" ht="15.75" hidden="false" customHeight="true" outlineLevel="0" collapsed="false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</row>
    <row r="196" customFormat="false" ht="15.75" hidden="false" customHeight="true" outlineLevel="0" collapsed="false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</row>
    <row r="197" customFormat="false" ht="15.75" hidden="false" customHeight="true" outlineLevel="0" collapsed="false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</row>
    <row r="198" customFormat="false" ht="15.75" hidden="false" customHeight="true" outlineLevel="0" collapsed="false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</row>
    <row r="199" customFormat="false" ht="15.75" hidden="false" customHeight="true" outlineLevel="0" collapsed="false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</row>
    <row r="200" customFormat="false" ht="15.75" hidden="false" customHeight="true" outlineLevel="0" collapsed="false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</row>
    <row r="201" customFormat="false" ht="15.75" hidden="false" customHeight="true" outlineLevel="0" collapsed="false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</row>
    <row r="202" customFormat="false" ht="15.75" hidden="false" customHeight="true" outlineLevel="0" collapsed="false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</row>
    <row r="203" customFormat="false" ht="15.75" hidden="false" customHeight="true" outlineLevel="0" collapsed="false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</row>
    <row r="204" customFormat="false" ht="15.75" hidden="false" customHeight="true" outlineLevel="0" collapsed="false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</row>
    <row r="205" customFormat="false" ht="15.75" hidden="false" customHeight="true" outlineLevel="0" collapsed="false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</row>
    <row r="206" customFormat="false" ht="15.75" hidden="false" customHeight="true" outlineLevel="0" collapsed="false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</row>
    <row r="207" customFormat="false" ht="15.75" hidden="false" customHeight="true" outlineLevel="0" collapsed="false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</row>
    <row r="208" customFormat="false" ht="15.75" hidden="false" customHeight="true" outlineLevel="0" collapsed="false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</row>
    <row r="209" customFormat="false" ht="15.75" hidden="false" customHeight="true" outlineLevel="0" collapsed="false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</row>
    <row r="210" customFormat="false" ht="15.75" hidden="false" customHeight="true" outlineLevel="0" collapsed="false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</row>
    <row r="211" customFormat="false" ht="15.75" hidden="false" customHeight="true" outlineLevel="0" collapsed="false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</row>
    <row r="212" customFormat="false" ht="15.75" hidden="false" customHeight="true" outlineLevel="0" collapsed="false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</row>
    <row r="213" customFormat="false" ht="15.75" hidden="false" customHeight="true" outlineLevel="0" collapsed="false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</row>
    <row r="214" customFormat="false" ht="15.75" hidden="false" customHeight="true" outlineLevel="0" collapsed="false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</row>
    <row r="215" customFormat="false" ht="15.75" hidden="false" customHeight="true" outlineLevel="0" collapsed="false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</row>
    <row r="216" customFormat="false" ht="15.75" hidden="false" customHeight="true" outlineLevel="0" collapsed="false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</row>
    <row r="217" customFormat="false" ht="15.75" hidden="false" customHeight="true" outlineLevel="0" collapsed="false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</row>
    <row r="218" customFormat="false" ht="15.75" hidden="false" customHeight="true" outlineLevel="0" collapsed="false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</row>
    <row r="219" customFormat="false" ht="15.75" hidden="false" customHeight="true" outlineLevel="0" collapsed="false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</row>
    <row r="220" customFormat="false" ht="15.75" hidden="false" customHeight="true" outlineLevel="0" collapsed="false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</row>
    <row r="221" customFormat="false" ht="15.75" hidden="false" customHeight="true" outlineLevel="0" collapsed="false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</row>
    <row r="222" customFormat="false" ht="15.75" hidden="false" customHeight="true" outlineLevel="0" collapsed="false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</row>
    <row r="223" customFormat="false" ht="15.75" hidden="false" customHeight="true" outlineLevel="0" collapsed="false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</row>
    <row r="224" customFormat="false" ht="15.75" hidden="false" customHeight="true" outlineLevel="0" collapsed="false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</row>
    <row r="225" customFormat="false" ht="15.75" hidden="false" customHeight="true" outlineLevel="0" collapsed="false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</row>
    <row r="226" customFormat="false" ht="15.75" hidden="false" customHeight="true" outlineLevel="0" collapsed="false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</row>
    <row r="227" customFormat="false" ht="15.75" hidden="false" customHeight="true" outlineLevel="0" collapsed="false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</row>
    <row r="228" customFormat="false" ht="15.75" hidden="false" customHeight="true" outlineLevel="0" collapsed="false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</row>
    <row r="229" customFormat="false" ht="15.75" hidden="false" customHeight="true" outlineLevel="0" collapsed="false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</row>
    <row r="230" customFormat="false" ht="15.75" hidden="false" customHeight="true" outlineLevel="0" collapsed="false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</row>
    <row r="231" customFormat="false" ht="15.75" hidden="false" customHeight="true" outlineLevel="0" collapsed="false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</row>
    <row r="232" customFormat="false" ht="15.75" hidden="false" customHeight="true" outlineLevel="0" collapsed="false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</row>
    <row r="233" customFormat="false" ht="15.75" hidden="false" customHeight="true" outlineLevel="0" collapsed="false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</row>
    <row r="234" customFormat="false" ht="15.75" hidden="false" customHeight="true" outlineLevel="0" collapsed="false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</row>
    <row r="235" customFormat="false" ht="15.75" hidden="false" customHeight="true" outlineLevel="0" collapsed="false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</row>
    <row r="236" customFormat="false" ht="15.75" hidden="false" customHeight="true" outlineLevel="0" collapsed="false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</row>
    <row r="237" customFormat="false" ht="15.75" hidden="false" customHeight="true" outlineLevel="0" collapsed="false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</row>
    <row r="238" customFormat="false" ht="15.75" hidden="false" customHeight="true" outlineLevel="0" collapsed="false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</row>
    <row r="239" customFormat="false" ht="15.75" hidden="false" customHeight="true" outlineLevel="0" collapsed="false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</row>
    <row r="240" customFormat="false" ht="15.75" hidden="false" customHeight="true" outlineLevel="0" collapsed="false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</row>
    <row r="241" customFormat="false" ht="15.75" hidden="false" customHeight="true" outlineLevel="0" collapsed="false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</row>
    <row r="242" customFormat="false" ht="15.75" hidden="false" customHeight="true" outlineLevel="0" collapsed="false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</row>
    <row r="243" customFormat="false" ht="15.75" hidden="false" customHeight="true" outlineLevel="0" collapsed="false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</row>
    <row r="244" customFormat="false" ht="15.75" hidden="false" customHeight="true" outlineLevel="0" collapsed="false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</row>
    <row r="245" customFormat="false" ht="15.75" hidden="false" customHeight="true" outlineLevel="0" collapsed="false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</row>
    <row r="246" customFormat="false" ht="15.75" hidden="false" customHeight="true" outlineLevel="0" collapsed="false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</row>
    <row r="247" customFormat="false" ht="15.75" hidden="false" customHeight="true" outlineLevel="0" collapsed="false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</row>
    <row r="248" customFormat="false" ht="15.75" hidden="false" customHeight="true" outlineLevel="0" collapsed="false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</row>
    <row r="249" customFormat="false" ht="15.75" hidden="false" customHeight="true" outlineLevel="0" collapsed="false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</row>
    <row r="250" customFormat="false" ht="15.75" hidden="false" customHeight="true" outlineLevel="0" collapsed="false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</row>
    <row r="251" customFormat="false" ht="15.75" hidden="false" customHeight="true" outlineLevel="0" collapsed="false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</row>
    <row r="252" customFormat="false" ht="15.75" hidden="false" customHeight="true" outlineLevel="0" collapsed="false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</row>
    <row r="253" customFormat="false" ht="15.75" hidden="false" customHeight="true" outlineLevel="0" collapsed="false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</row>
    <row r="254" customFormat="false" ht="15.75" hidden="false" customHeight="true" outlineLevel="0" collapsed="false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</row>
    <row r="255" customFormat="false" ht="15.75" hidden="false" customHeight="true" outlineLevel="0" collapsed="false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</row>
    <row r="256" customFormat="false" ht="15.75" hidden="false" customHeight="true" outlineLevel="0" collapsed="false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</row>
    <row r="257" customFormat="false" ht="15.75" hidden="false" customHeight="true" outlineLevel="0" collapsed="false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</row>
    <row r="258" customFormat="false" ht="15.75" hidden="false" customHeight="true" outlineLevel="0" collapsed="false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</row>
    <row r="259" customFormat="false" ht="15.75" hidden="false" customHeight="true" outlineLevel="0" collapsed="false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</row>
    <row r="260" customFormat="false" ht="15.75" hidden="false" customHeight="true" outlineLevel="0" collapsed="false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</row>
    <row r="261" customFormat="false" ht="15.75" hidden="false" customHeight="true" outlineLevel="0" collapsed="false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</row>
    <row r="262" customFormat="false" ht="15.75" hidden="false" customHeight="true" outlineLevel="0" collapsed="false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</row>
    <row r="263" customFormat="false" ht="15.75" hidden="false" customHeight="true" outlineLevel="0" collapsed="false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</row>
    <row r="264" customFormat="false" ht="15.75" hidden="false" customHeight="true" outlineLevel="0" collapsed="false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</row>
    <row r="265" customFormat="false" ht="15.75" hidden="false" customHeight="true" outlineLevel="0" collapsed="false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</row>
    <row r="266" customFormat="false" ht="15.75" hidden="false" customHeight="true" outlineLevel="0" collapsed="false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</row>
    <row r="267" customFormat="false" ht="15.75" hidden="false" customHeight="true" outlineLevel="0" collapsed="false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</row>
    <row r="268" customFormat="false" ht="15.75" hidden="false" customHeight="true" outlineLevel="0" collapsed="false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</row>
    <row r="269" customFormat="false" ht="15.75" hidden="false" customHeight="true" outlineLevel="0" collapsed="false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</row>
    <row r="270" customFormat="false" ht="15.75" hidden="false" customHeight="true" outlineLevel="0" collapsed="false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</row>
    <row r="271" customFormat="false" ht="15.75" hidden="false" customHeight="true" outlineLevel="0" collapsed="false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</row>
    <row r="272" customFormat="false" ht="15.75" hidden="false" customHeight="true" outlineLevel="0" collapsed="false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</row>
    <row r="273" customFormat="false" ht="15.75" hidden="false" customHeight="true" outlineLevel="0" collapsed="false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</row>
    <row r="274" customFormat="false" ht="15.75" hidden="false" customHeight="true" outlineLevel="0" collapsed="false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</row>
    <row r="275" customFormat="false" ht="15.75" hidden="false" customHeight="true" outlineLevel="0" collapsed="false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</row>
    <row r="276" customFormat="false" ht="15.75" hidden="false" customHeight="true" outlineLevel="0" collapsed="false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</row>
    <row r="277" customFormat="false" ht="15.75" hidden="false" customHeight="true" outlineLevel="0" collapsed="false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</row>
    <row r="278" customFormat="false" ht="15.75" hidden="false" customHeight="true" outlineLevel="0" collapsed="false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</row>
    <row r="279" customFormat="false" ht="15.75" hidden="false" customHeight="true" outlineLevel="0" collapsed="false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</row>
    <row r="280" customFormat="false" ht="15.75" hidden="false" customHeight="true" outlineLevel="0" collapsed="false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</row>
    <row r="281" customFormat="false" ht="15.75" hidden="false" customHeight="true" outlineLevel="0" collapsed="false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</row>
    <row r="282" customFormat="false" ht="15.75" hidden="false" customHeight="true" outlineLevel="0" collapsed="false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</row>
    <row r="283" customFormat="false" ht="15.75" hidden="false" customHeight="true" outlineLevel="0" collapsed="false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</row>
    <row r="284" customFormat="false" ht="15.75" hidden="false" customHeight="true" outlineLevel="0" collapsed="false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</row>
    <row r="285" customFormat="false" ht="15.75" hidden="false" customHeight="true" outlineLevel="0" collapsed="false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</row>
    <row r="286" customFormat="false" ht="15.75" hidden="false" customHeight="true" outlineLevel="0" collapsed="false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</row>
    <row r="287" customFormat="false" ht="15.75" hidden="false" customHeight="true" outlineLevel="0" collapsed="false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</row>
    <row r="288" customFormat="false" ht="15.75" hidden="false" customHeight="true" outlineLevel="0" collapsed="false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</row>
    <row r="289" customFormat="false" ht="15.75" hidden="false" customHeight="true" outlineLevel="0" collapsed="false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</row>
    <row r="290" customFormat="false" ht="15.75" hidden="false" customHeight="true" outlineLevel="0" collapsed="false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</row>
    <row r="291" customFormat="false" ht="15.75" hidden="false" customHeight="true" outlineLevel="0" collapsed="false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</row>
    <row r="292" customFormat="false" ht="15.75" hidden="false" customHeight="true" outlineLevel="0" collapsed="false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</row>
    <row r="293" customFormat="false" ht="15.75" hidden="false" customHeight="true" outlineLevel="0" collapsed="false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</row>
    <row r="294" customFormat="false" ht="15.75" hidden="false" customHeight="true" outlineLevel="0" collapsed="false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</row>
    <row r="295" customFormat="false" ht="15.75" hidden="false" customHeight="true" outlineLevel="0" collapsed="false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</row>
    <row r="296" customFormat="false" ht="15.75" hidden="false" customHeight="true" outlineLevel="0" collapsed="false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</row>
    <row r="297" customFormat="false" ht="15.75" hidden="false" customHeight="true" outlineLevel="0" collapsed="false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</row>
    <row r="298" customFormat="false" ht="15.75" hidden="false" customHeight="true" outlineLevel="0" collapsed="false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</row>
    <row r="299" customFormat="false" ht="15.75" hidden="false" customHeight="true" outlineLevel="0" collapsed="false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</row>
    <row r="300" customFormat="false" ht="15.75" hidden="false" customHeight="true" outlineLevel="0" collapsed="false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</row>
    <row r="301" customFormat="false" ht="15.75" hidden="false" customHeight="true" outlineLevel="0" collapsed="false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</row>
    <row r="302" customFormat="false" ht="15.75" hidden="false" customHeight="true" outlineLevel="0" collapsed="false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</row>
    <row r="303" customFormat="false" ht="15.75" hidden="false" customHeight="true" outlineLevel="0" collapsed="false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</row>
    <row r="304" customFormat="false" ht="15.75" hidden="false" customHeight="true" outlineLevel="0" collapsed="false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</row>
    <row r="305" customFormat="false" ht="15.75" hidden="false" customHeight="true" outlineLevel="0" collapsed="false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</row>
    <row r="306" customFormat="false" ht="15.75" hidden="false" customHeight="true" outlineLevel="0" collapsed="false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</row>
    <row r="307" customFormat="false" ht="15.75" hidden="false" customHeight="true" outlineLevel="0" collapsed="false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</row>
    <row r="308" customFormat="false" ht="15.75" hidden="false" customHeight="true" outlineLevel="0" collapsed="false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</row>
    <row r="309" customFormat="false" ht="15.75" hidden="false" customHeight="true" outlineLevel="0" collapsed="false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</row>
    <row r="310" customFormat="false" ht="15.75" hidden="false" customHeight="true" outlineLevel="0" collapsed="false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</row>
    <row r="311" customFormat="false" ht="15.75" hidden="false" customHeight="true" outlineLevel="0" collapsed="false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</row>
    <row r="312" customFormat="false" ht="15.75" hidden="false" customHeight="true" outlineLevel="0" collapsed="false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</row>
    <row r="313" customFormat="false" ht="15.75" hidden="false" customHeight="true" outlineLevel="0" collapsed="false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</row>
    <row r="314" customFormat="false" ht="15.75" hidden="false" customHeight="true" outlineLevel="0" collapsed="false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</row>
    <row r="315" customFormat="false" ht="15.75" hidden="false" customHeight="true" outlineLevel="0" collapsed="false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</row>
    <row r="316" customFormat="false" ht="15.75" hidden="false" customHeight="true" outlineLevel="0" collapsed="false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</row>
    <row r="317" customFormat="false" ht="15.75" hidden="false" customHeight="true" outlineLevel="0" collapsed="false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</row>
    <row r="318" customFormat="false" ht="15.75" hidden="false" customHeight="true" outlineLevel="0" collapsed="false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</row>
    <row r="319" customFormat="false" ht="15.75" hidden="false" customHeight="true" outlineLevel="0" collapsed="false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</row>
    <row r="320" customFormat="false" ht="15.75" hidden="false" customHeight="true" outlineLevel="0" collapsed="false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</row>
    <row r="321" customFormat="false" ht="15.75" hidden="false" customHeight="true" outlineLevel="0" collapsed="false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</row>
    <row r="322" customFormat="false" ht="15.75" hidden="false" customHeight="true" outlineLevel="0" collapsed="false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</row>
    <row r="323" customFormat="false" ht="15.75" hidden="false" customHeight="true" outlineLevel="0" collapsed="false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</row>
    <row r="324" customFormat="false" ht="15.75" hidden="false" customHeight="true" outlineLevel="0" collapsed="false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</row>
    <row r="325" customFormat="false" ht="15.75" hidden="false" customHeight="true" outlineLevel="0" collapsed="false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</row>
    <row r="326" customFormat="false" ht="15.75" hidden="false" customHeight="true" outlineLevel="0" collapsed="false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</row>
    <row r="327" customFormat="false" ht="15.75" hidden="false" customHeight="true" outlineLevel="0" collapsed="false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</row>
    <row r="328" customFormat="false" ht="15.75" hidden="false" customHeight="true" outlineLevel="0" collapsed="false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</row>
    <row r="329" customFormat="false" ht="15.75" hidden="false" customHeight="true" outlineLevel="0" collapsed="false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</row>
    <row r="330" customFormat="false" ht="15.75" hidden="false" customHeight="true" outlineLevel="0" collapsed="false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</row>
    <row r="331" customFormat="false" ht="15.75" hidden="false" customHeight="true" outlineLevel="0" collapsed="false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</row>
    <row r="332" customFormat="false" ht="15.75" hidden="false" customHeight="true" outlineLevel="0" collapsed="false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</row>
    <row r="333" customFormat="false" ht="15.75" hidden="false" customHeight="true" outlineLevel="0" collapsed="false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</row>
    <row r="334" customFormat="false" ht="15.75" hidden="false" customHeight="true" outlineLevel="0" collapsed="false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</row>
    <row r="335" customFormat="false" ht="15.75" hidden="false" customHeight="true" outlineLevel="0" collapsed="false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</row>
    <row r="336" customFormat="false" ht="15.75" hidden="false" customHeight="true" outlineLevel="0" collapsed="false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</row>
    <row r="337" customFormat="false" ht="15.75" hidden="false" customHeight="true" outlineLevel="0" collapsed="false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</row>
    <row r="338" customFormat="false" ht="15.75" hidden="false" customHeight="true" outlineLevel="0" collapsed="false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</row>
    <row r="339" customFormat="false" ht="15.75" hidden="false" customHeight="true" outlineLevel="0" collapsed="false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</row>
    <row r="340" customFormat="false" ht="15.75" hidden="false" customHeight="true" outlineLevel="0" collapsed="false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</row>
    <row r="341" customFormat="false" ht="15.75" hidden="false" customHeight="true" outlineLevel="0" collapsed="false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</row>
    <row r="342" customFormat="false" ht="15.75" hidden="false" customHeight="true" outlineLevel="0" collapsed="false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</row>
    <row r="343" customFormat="false" ht="15.75" hidden="false" customHeight="true" outlineLevel="0" collapsed="false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</row>
    <row r="344" customFormat="false" ht="15.75" hidden="false" customHeight="true" outlineLevel="0" collapsed="false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</row>
    <row r="345" customFormat="false" ht="15.75" hidden="false" customHeight="true" outlineLevel="0" collapsed="false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</row>
    <row r="346" customFormat="false" ht="15.75" hidden="false" customHeight="true" outlineLevel="0" collapsed="false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</row>
    <row r="347" customFormat="false" ht="15.75" hidden="false" customHeight="true" outlineLevel="0" collapsed="false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</row>
    <row r="348" customFormat="false" ht="15.75" hidden="false" customHeight="true" outlineLevel="0" collapsed="false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</row>
    <row r="349" customFormat="false" ht="15.75" hidden="false" customHeight="true" outlineLevel="0" collapsed="false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</row>
    <row r="350" customFormat="false" ht="15.75" hidden="false" customHeight="true" outlineLevel="0" collapsed="false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</row>
    <row r="351" customFormat="false" ht="15.75" hidden="false" customHeight="true" outlineLevel="0" collapsed="false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</row>
    <row r="352" customFormat="false" ht="15.75" hidden="false" customHeight="true" outlineLevel="0" collapsed="false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</row>
    <row r="353" customFormat="false" ht="15.75" hidden="false" customHeight="true" outlineLevel="0" collapsed="false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</row>
    <row r="354" customFormat="false" ht="15.75" hidden="false" customHeight="true" outlineLevel="0" collapsed="false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</row>
    <row r="355" customFormat="false" ht="15.75" hidden="false" customHeight="true" outlineLevel="0" collapsed="false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</row>
    <row r="356" customFormat="false" ht="15.75" hidden="false" customHeight="true" outlineLevel="0" collapsed="false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</row>
    <row r="357" customFormat="false" ht="15.75" hidden="false" customHeight="true" outlineLevel="0" collapsed="false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</row>
    <row r="358" customFormat="false" ht="15.75" hidden="false" customHeight="true" outlineLevel="0" collapsed="false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</row>
    <row r="359" customFormat="false" ht="15.75" hidden="false" customHeight="true" outlineLevel="0" collapsed="false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</row>
    <row r="360" customFormat="false" ht="15.75" hidden="false" customHeight="true" outlineLevel="0" collapsed="false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</row>
    <row r="361" customFormat="false" ht="15.75" hidden="false" customHeight="true" outlineLevel="0" collapsed="false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</row>
    <row r="362" customFormat="false" ht="15.75" hidden="false" customHeight="true" outlineLevel="0" collapsed="false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</row>
    <row r="363" customFormat="false" ht="15.75" hidden="false" customHeight="true" outlineLevel="0" collapsed="false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</row>
    <row r="364" customFormat="false" ht="15.75" hidden="false" customHeight="true" outlineLevel="0" collapsed="false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</row>
    <row r="365" customFormat="false" ht="15.75" hidden="false" customHeight="true" outlineLevel="0" collapsed="false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</row>
    <row r="366" customFormat="false" ht="15.75" hidden="false" customHeight="true" outlineLevel="0" collapsed="false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</row>
    <row r="367" customFormat="false" ht="15.75" hidden="false" customHeight="true" outlineLevel="0" collapsed="false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</row>
    <row r="368" customFormat="false" ht="15.75" hidden="false" customHeight="true" outlineLevel="0" collapsed="false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</row>
    <row r="369" customFormat="false" ht="15.75" hidden="false" customHeight="true" outlineLevel="0" collapsed="false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</row>
    <row r="370" customFormat="false" ht="15.75" hidden="false" customHeight="true" outlineLevel="0" collapsed="false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</row>
    <row r="371" customFormat="false" ht="15.75" hidden="false" customHeight="true" outlineLevel="0" collapsed="false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</row>
    <row r="372" customFormat="false" ht="15.75" hidden="false" customHeight="true" outlineLevel="0" collapsed="false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</row>
    <row r="373" customFormat="false" ht="15.75" hidden="false" customHeight="true" outlineLevel="0" collapsed="false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</row>
    <row r="374" customFormat="false" ht="15.75" hidden="false" customHeight="true" outlineLevel="0" collapsed="false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</row>
    <row r="375" customFormat="false" ht="15.75" hidden="false" customHeight="true" outlineLevel="0" collapsed="false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</row>
    <row r="376" customFormat="false" ht="15.75" hidden="false" customHeight="true" outlineLevel="0" collapsed="false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</row>
    <row r="377" customFormat="false" ht="15.75" hidden="false" customHeight="true" outlineLevel="0" collapsed="false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</row>
    <row r="378" customFormat="false" ht="15.75" hidden="false" customHeight="true" outlineLevel="0" collapsed="false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</row>
    <row r="379" customFormat="false" ht="15.75" hidden="false" customHeight="true" outlineLevel="0" collapsed="false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</row>
    <row r="380" customFormat="false" ht="15.75" hidden="false" customHeight="true" outlineLevel="0" collapsed="false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</row>
    <row r="381" customFormat="false" ht="15.75" hidden="false" customHeight="true" outlineLevel="0" collapsed="false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</row>
    <row r="382" customFormat="false" ht="15.75" hidden="false" customHeight="true" outlineLevel="0" collapsed="false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</row>
    <row r="383" customFormat="false" ht="15.75" hidden="false" customHeight="true" outlineLevel="0" collapsed="false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</row>
    <row r="384" customFormat="false" ht="15.75" hidden="false" customHeight="true" outlineLevel="0" collapsed="false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</row>
    <row r="385" customFormat="false" ht="15.75" hidden="false" customHeight="true" outlineLevel="0" collapsed="false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</row>
    <row r="386" customFormat="false" ht="15.75" hidden="false" customHeight="true" outlineLevel="0" collapsed="false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</row>
    <row r="387" customFormat="false" ht="15.75" hidden="false" customHeight="true" outlineLevel="0" collapsed="false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</row>
    <row r="388" customFormat="false" ht="15.75" hidden="false" customHeight="true" outlineLevel="0" collapsed="false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</row>
    <row r="389" customFormat="false" ht="15.75" hidden="false" customHeight="true" outlineLevel="0" collapsed="false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</row>
    <row r="390" customFormat="false" ht="15.75" hidden="false" customHeight="true" outlineLevel="0" collapsed="false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</row>
    <row r="391" customFormat="false" ht="15.75" hidden="false" customHeight="true" outlineLevel="0" collapsed="false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</row>
    <row r="392" customFormat="false" ht="15.75" hidden="false" customHeight="true" outlineLevel="0" collapsed="false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</row>
    <row r="393" customFormat="false" ht="15.75" hidden="false" customHeight="true" outlineLevel="0" collapsed="false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</row>
    <row r="394" customFormat="false" ht="15.75" hidden="false" customHeight="true" outlineLevel="0" collapsed="false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</row>
    <row r="395" customFormat="false" ht="15.75" hidden="false" customHeight="true" outlineLevel="0" collapsed="false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</row>
    <row r="396" customFormat="false" ht="15.75" hidden="false" customHeight="true" outlineLevel="0" collapsed="false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</row>
    <row r="397" customFormat="false" ht="15.75" hidden="false" customHeight="true" outlineLevel="0" collapsed="false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</row>
    <row r="398" customFormat="false" ht="15.75" hidden="false" customHeight="true" outlineLevel="0" collapsed="false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</row>
    <row r="399" customFormat="false" ht="15.75" hidden="false" customHeight="true" outlineLevel="0" collapsed="false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</row>
    <row r="400" customFormat="false" ht="15.75" hidden="false" customHeight="true" outlineLevel="0" collapsed="false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</row>
    <row r="401" customFormat="false" ht="15.75" hidden="false" customHeight="true" outlineLevel="0" collapsed="false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</row>
    <row r="402" customFormat="false" ht="15.75" hidden="false" customHeight="true" outlineLevel="0" collapsed="false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</row>
    <row r="403" customFormat="false" ht="15.75" hidden="false" customHeight="true" outlineLevel="0" collapsed="false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</row>
    <row r="404" customFormat="false" ht="15.75" hidden="false" customHeight="true" outlineLevel="0" collapsed="false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</row>
    <row r="405" customFormat="false" ht="15.75" hidden="false" customHeight="true" outlineLevel="0" collapsed="false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</row>
    <row r="406" customFormat="false" ht="15.75" hidden="false" customHeight="true" outlineLevel="0" collapsed="false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</row>
    <row r="407" customFormat="false" ht="15.75" hidden="false" customHeight="true" outlineLevel="0" collapsed="false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</row>
    <row r="408" customFormat="false" ht="15.75" hidden="false" customHeight="true" outlineLevel="0" collapsed="false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</row>
    <row r="409" customFormat="false" ht="15.75" hidden="false" customHeight="true" outlineLevel="0" collapsed="false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</row>
    <row r="410" customFormat="false" ht="15.75" hidden="false" customHeight="true" outlineLevel="0" collapsed="false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</row>
    <row r="411" customFormat="false" ht="15.75" hidden="false" customHeight="true" outlineLevel="0" collapsed="false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</row>
    <row r="412" customFormat="false" ht="15.75" hidden="false" customHeight="true" outlineLevel="0" collapsed="false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</row>
    <row r="413" customFormat="false" ht="15.75" hidden="false" customHeight="true" outlineLevel="0" collapsed="false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</row>
    <row r="414" customFormat="false" ht="15.75" hidden="false" customHeight="true" outlineLevel="0" collapsed="false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</row>
    <row r="415" customFormat="false" ht="15.75" hidden="false" customHeight="true" outlineLevel="0" collapsed="false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</row>
    <row r="416" customFormat="false" ht="15.75" hidden="false" customHeight="true" outlineLevel="0" collapsed="false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</row>
    <row r="417" customFormat="false" ht="15.75" hidden="false" customHeight="true" outlineLevel="0" collapsed="false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</row>
    <row r="418" customFormat="false" ht="15.75" hidden="false" customHeight="true" outlineLevel="0" collapsed="false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</row>
    <row r="419" customFormat="false" ht="15.75" hidden="false" customHeight="true" outlineLevel="0" collapsed="false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</row>
    <row r="420" customFormat="false" ht="15.75" hidden="false" customHeight="true" outlineLevel="0" collapsed="false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</row>
    <row r="421" customFormat="false" ht="15.75" hidden="false" customHeight="true" outlineLevel="0" collapsed="false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</row>
    <row r="422" customFormat="false" ht="15.75" hidden="false" customHeight="true" outlineLevel="0" collapsed="false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</row>
    <row r="423" customFormat="false" ht="15.75" hidden="false" customHeight="true" outlineLevel="0" collapsed="false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</row>
    <row r="424" customFormat="false" ht="15.75" hidden="false" customHeight="true" outlineLevel="0" collapsed="false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</row>
    <row r="425" customFormat="false" ht="15.75" hidden="false" customHeight="true" outlineLevel="0" collapsed="false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</row>
    <row r="426" customFormat="false" ht="15.75" hidden="false" customHeight="true" outlineLevel="0" collapsed="false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</row>
    <row r="427" customFormat="false" ht="15.75" hidden="false" customHeight="true" outlineLevel="0" collapsed="false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</row>
    <row r="428" customFormat="false" ht="15.75" hidden="false" customHeight="true" outlineLevel="0" collapsed="false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</row>
    <row r="429" customFormat="false" ht="15.75" hidden="false" customHeight="true" outlineLevel="0" collapsed="false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</row>
    <row r="430" customFormat="false" ht="15.75" hidden="false" customHeight="true" outlineLevel="0" collapsed="false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</row>
    <row r="431" customFormat="false" ht="15.75" hidden="false" customHeight="true" outlineLevel="0" collapsed="false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</row>
    <row r="432" customFormat="false" ht="15.75" hidden="false" customHeight="true" outlineLevel="0" collapsed="false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</row>
    <row r="433" customFormat="false" ht="15.75" hidden="false" customHeight="true" outlineLevel="0" collapsed="false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</row>
    <row r="434" customFormat="false" ht="15.75" hidden="false" customHeight="true" outlineLevel="0" collapsed="false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</row>
    <row r="435" customFormat="false" ht="15.75" hidden="false" customHeight="true" outlineLevel="0" collapsed="false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</row>
    <row r="436" customFormat="false" ht="15.75" hidden="false" customHeight="true" outlineLevel="0" collapsed="false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</row>
    <row r="437" customFormat="false" ht="15.75" hidden="false" customHeight="true" outlineLevel="0" collapsed="false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</row>
    <row r="438" customFormat="false" ht="15.75" hidden="false" customHeight="true" outlineLevel="0" collapsed="false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</row>
    <row r="439" customFormat="false" ht="15.75" hidden="false" customHeight="true" outlineLevel="0" collapsed="false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</row>
    <row r="440" customFormat="false" ht="15.75" hidden="false" customHeight="true" outlineLevel="0" collapsed="false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</row>
    <row r="441" customFormat="false" ht="15.75" hidden="false" customHeight="true" outlineLevel="0" collapsed="false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</row>
    <row r="442" customFormat="false" ht="15.75" hidden="false" customHeight="true" outlineLevel="0" collapsed="false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</row>
    <row r="443" customFormat="false" ht="15.75" hidden="false" customHeight="true" outlineLevel="0" collapsed="false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</row>
    <row r="444" customFormat="false" ht="15.75" hidden="false" customHeight="true" outlineLevel="0" collapsed="false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</row>
    <row r="445" customFormat="false" ht="15.75" hidden="false" customHeight="true" outlineLevel="0" collapsed="false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</row>
    <row r="446" customFormat="false" ht="15.75" hidden="false" customHeight="true" outlineLevel="0" collapsed="false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</row>
    <row r="447" customFormat="false" ht="15.75" hidden="false" customHeight="true" outlineLevel="0" collapsed="false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</row>
    <row r="448" customFormat="false" ht="15.75" hidden="false" customHeight="true" outlineLevel="0" collapsed="false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</row>
    <row r="449" customFormat="false" ht="15.75" hidden="false" customHeight="true" outlineLevel="0" collapsed="false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</row>
    <row r="450" customFormat="false" ht="15.75" hidden="false" customHeight="true" outlineLevel="0" collapsed="false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</row>
    <row r="451" customFormat="false" ht="15.75" hidden="false" customHeight="true" outlineLevel="0" collapsed="false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</row>
    <row r="452" customFormat="false" ht="15.75" hidden="false" customHeight="true" outlineLevel="0" collapsed="false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</row>
    <row r="453" customFormat="false" ht="15.75" hidden="false" customHeight="true" outlineLevel="0" collapsed="false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</row>
    <row r="454" customFormat="false" ht="15.75" hidden="false" customHeight="true" outlineLevel="0" collapsed="false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</row>
    <row r="455" customFormat="false" ht="15.75" hidden="false" customHeight="true" outlineLevel="0" collapsed="false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</row>
    <row r="456" customFormat="false" ht="15.75" hidden="false" customHeight="true" outlineLevel="0" collapsed="false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</row>
    <row r="457" customFormat="false" ht="15.75" hidden="false" customHeight="true" outlineLevel="0" collapsed="false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</row>
    <row r="458" customFormat="false" ht="15.75" hidden="false" customHeight="true" outlineLevel="0" collapsed="false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</row>
    <row r="459" customFormat="false" ht="15.75" hidden="false" customHeight="true" outlineLevel="0" collapsed="false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</row>
    <row r="460" customFormat="false" ht="15.75" hidden="false" customHeight="true" outlineLevel="0" collapsed="false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</row>
    <row r="461" customFormat="false" ht="15.75" hidden="false" customHeight="true" outlineLevel="0" collapsed="false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</row>
    <row r="462" customFormat="false" ht="15.75" hidden="false" customHeight="true" outlineLevel="0" collapsed="false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</row>
    <row r="463" customFormat="false" ht="15.75" hidden="false" customHeight="true" outlineLevel="0" collapsed="false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</row>
    <row r="464" customFormat="false" ht="15.75" hidden="false" customHeight="true" outlineLevel="0" collapsed="false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</row>
    <row r="465" customFormat="false" ht="15.75" hidden="false" customHeight="true" outlineLevel="0" collapsed="false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</row>
    <row r="466" customFormat="false" ht="15.75" hidden="false" customHeight="true" outlineLevel="0" collapsed="false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</row>
    <row r="467" customFormat="false" ht="15.75" hidden="false" customHeight="true" outlineLevel="0" collapsed="false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</row>
    <row r="468" customFormat="false" ht="15.75" hidden="false" customHeight="true" outlineLevel="0" collapsed="false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</row>
    <row r="469" customFormat="false" ht="15.75" hidden="false" customHeight="true" outlineLevel="0" collapsed="false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</row>
    <row r="470" customFormat="false" ht="15.75" hidden="false" customHeight="true" outlineLevel="0" collapsed="false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</row>
    <row r="471" customFormat="false" ht="15.75" hidden="false" customHeight="true" outlineLevel="0" collapsed="false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</row>
    <row r="472" customFormat="false" ht="15.75" hidden="false" customHeight="true" outlineLevel="0" collapsed="false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</row>
    <row r="473" customFormat="false" ht="15.75" hidden="false" customHeight="true" outlineLevel="0" collapsed="false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</row>
    <row r="474" customFormat="false" ht="15.75" hidden="false" customHeight="true" outlineLevel="0" collapsed="false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</row>
    <row r="475" customFormat="false" ht="15.75" hidden="false" customHeight="true" outlineLevel="0" collapsed="false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</row>
    <row r="476" customFormat="false" ht="15.75" hidden="false" customHeight="true" outlineLevel="0" collapsed="false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</row>
    <row r="477" customFormat="false" ht="15.75" hidden="false" customHeight="true" outlineLevel="0" collapsed="false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</row>
    <row r="478" customFormat="false" ht="15.75" hidden="false" customHeight="true" outlineLevel="0" collapsed="false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</row>
    <row r="479" customFormat="false" ht="15.75" hidden="false" customHeight="true" outlineLevel="0" collapsed="false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</row>
    <row r="480" customFormat="false" ht="15.75" hidden="false" customHeight="true" outlineLevel="0" collapsed="false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</row>
    <row r="481" customFormat="false" ht="15.75" hidden="false" customHeight="true" outlineLevel="0" collapsed="false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</row>
    <row r="482" customFormat="false" ht="15.75" hidden="false" customHeight="true" outlineLevel="0" collapsed="false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</row>
    <row r="483" customFormat="false" ht="15.75" hidden="false" customHeight="true" outlineLevel="0" collapsed="false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</row>
    <row r="484" customFormat="false" ht="15.75" hidden="false" customHeight="true" outlineLevel="0" collapsed="false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</row>
    <row r="485" customFormat="false" ht="15.75" hidden="false" customHeight="true" outlineLevel="0" collapsed="false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</row>
    <row r="486" customFormat="false" ht="15.75" hidden="false" customHeight="true" outlineLevel="0" collapsed="false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</row>
    <row r="487" customFormat="false" ht="15.75" hidden="false" customHeight="true" outlineLevel="0" collapsed="false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</row>
    <row r="488" customFormat="false" ht="15.75" hidden="false" customHeight="true" outlineLevel="0" collapsed="false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</row>
    <row r="489" customFormat="false" ht="15.75" hidden="false" customHeight="true" outlineLevel="0" collapsed="false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</row>
    <row r="490" customFormat="false" ht="15.75" hidden="false" customHeight="true" outlineLevel="0" collapsed="false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</row>
    <row r="491" customFormat="false" ht="15.75" hidden="false" customHeight="true" outlineLevel="0" collapsed="false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</row>
    <row r="492" customFormat="false" ht="15.75" hidden="false" customHeight="true" outlineLevel="0" collapsed="false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</row>
    <row r="493" customFormat="false" ht="15.75" hidden="false" customHeight="true" outlineLevel="0" collapsed="false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</row>
    <row r="494" customFormat="false" ht="15.75" hidden="false" customHeight="true" outlineLevel="0" collapsed="false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</row>
    <row r="495" customFormat="false" ht="15.75" hidden="false" customHeight="true" outlineLevel="0" collapsed="false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</row>
    <row r="496" customFormat="false" ht="15.75" hidden="false" customHeight="true" outlineLevel="0" collapsed="false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</row>
    <row r="497" customFormat="false" ht="15.75" hidden="false" customHeight="true" outlineLevel="0" collapsed="false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</row>
    <row r="498" customFormat="false" ht="15.75" hidden="false" customHeight="true" outlineLevel="0" collapsed="false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</row>
    <row r="499" customFormat="false" ht="15.75" hidden="false" customHeight="true" outlineLevel="0" collapsed="false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</row>
    <row r="500" customFormat="false" ht="15.75" hidden="false" customHeight="true" outlineLevel="0" collapsed="false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</row>
    <row r="501" customFormat="false" ht="15.75" hidden="false" customHeight="true" outlineLevel="0" collapsed="false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</row>
    <row r="502" customFormat="false" ht="15.75" hidden="false" customHeight="true" outlineLevel="0" collapsed="false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</row>
    <row r="503" customFormat="false" ht="15.75" hidden="false" customHeight="true" outlineLevel="0" collapsed="false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</row>
    <row r="504" customFormat="false" ht="15.75" hidden="false" customHeight="true" outlineLevel="0" collapsed="false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</row>
    <row r="505" customFormat="false" ht="15.75" hidden="false" customHeight="true" outlineLevel="0" collapsed="false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</row>
    <row r="506" customFormat="false" ht="15.75" hidden="false" customHeight="true" outlineLevel="0" collapsed="false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</row>
    <row r="507" customFormat="false" ht="15.75" hidden="false" customHeight="true" outlineLevel="0" collapsed="false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</row>
    <row r="508" customFormat="false" ht="15.75" hidden="false" customHeight="true" outlineLevel="0" collapsed="false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</row>
    <row r="509" customFormat="false" ht="15.75" hidden="false" customHeight="true" outlineLevel="0" collapsed="false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</row>
    <row r="510" customFormat="false" ht="15.75" hidden="false" customHeight="true" outlineLevel="0" collapsed="false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</row>
    <row r="511" customFormat="false" ht="15.75" hidden="false" customHeight="true" outlineLevel="0" collapsed="false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</row>
    <row r="512" customFormat="false" ht="15.75" hidden="false" customHeight="true" outlineLevel="0" collapsed="false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</row>
    <row r="513" customFormat="false" ht="15.75" hidden="false" customHeight="true" outlineLevel="0" collapsed="false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</row>
    <row r="514" customFormat="false" ht="15.75" hidden="false" customHeight="true" outlineLevel="0" collapsed="false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</row>
    <row r="515" customFormat="false" ht="15.75" hidden="false" customHeight="true" outlineLevel="0" collapsed="false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</row>
    <row r="516" customFormat="false" ht="15.75" hidden="false" customHeight="true" outlineLevel="0" collapsed="false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</row>
    <row r="517" customFormat="false" ht="15.75" hidden="false" customHeight="true" outlineLevel="0" collapsed="false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</row>
    <row r="518" customFormat="false" ht="15.75" hidden="false" customHeight="true" outlineLevel="0" collapsed="false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</row>
    <row r="519" customFormat="false" ht="15.75" hidden="false" customHeight="true" outlineLevel="0" collapsed="false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</row>
    <row r="520" customFormat="false" ht="15.75" hidden="false" customHeight="true" outlineLevel="0" collapsed="false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</row>
    <row r="521" customFormat="false" ht="15.75" hidden="false" customHeight="true" outlineLevel="0" collapsed="false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</row>
    <row r="522" customFormat="false" ht="15.75" hidden="false" customHeight="true" outlineLevel="0" collapsed="false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</row>
    <row r="523" customFormat="false" ht="15.75" hidden="false" customHeight="true" outlineLevel="0" collapsed="false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</row>
    <row r="524" customFormat="false" ht="15.75" hidden="false" customHeight="true" outlineLevel="0" collapsed="false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</row>
    <row r="525" customFormat="false" ht="15.75" hidden="false" customHeight="true" outlineLevel="0" collapsed="false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</row>
    <row r="526" customFormat="false" ht="15.75" hidden="false" customHeight="true" outlineLevel="0" collapsed="false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</row>
    <row r="527" customFormat="false" ht="15.75" hidden="false" customHeight="true" outlineLevel="0" collapsed="false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</row>
    <row r="528" customFormat="false" ht="15.75" hidden="false" customHeight="true" outlineLevel="0" collapsed="false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</row>
    <row r="529" customFormat="false" ht="15.75" hidden="false" customHeight="true" outlineLevel="0" collapsed="false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</row>
    <row r="530" customFormat="false" ht="15.75" hidden="false" customHeight="true" outlineLevel="0" collapsed="false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</row>
    <row r="531" customFormat="false" ht="15.75" hidden="false" customHeight="true" outlineLevel="0" collapsed="false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</row>
    <row r="532" customFormat="false" ht="15.75" hidden="false" customHeight="true" outlineLevel="0" collapsed="false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</row>
    <row r="533" customFormat="false" ht="15.75" hidden="false" customHeight="true" outlineLevel="0" collapsed="false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</row>
    <row r="534" customFormat="false" ht="15.75" hidden="false" customHeight="true" outlineLevel="0" collapsed="false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</row>
    <row r="535" customFormat="false" ht="15.75" hidden="false" customHeight="true" outlineLevel="0" collapsed="false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</row>
    <row r="536" customFormat="false" ht="15.75" hidden="false" customHeight="true" outlineLevel="0" collapsed="false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</row>
    <row r="537" customFormat="false" ht="15.75" hidden="false" customHeight="true" outlineLevel="0" collapsed="false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</row>
    <row r="538" customFormat="false" ht="15.75" hidden="false" customHeight="true" outlineLevel="0" collapsed="false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</row>
    <row r="539" customFormat="false" ht="15.75" hidden="false" customHeight="true" outlineLevel="0" collapsed="false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</row>
    <row r="540" customFormat="false" ht="15.75" hidden="false" customHeight="true" outlineLevel="0" collapsed="false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</row>
    <row r="541" customFormat="false" ht="15.75" hidden="false" customHeight="true" outlineLevel="0" collapsed="false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</row>
    <row r="542" customFormat="false" ht="15.75" hidden="false" customHeight="true" outlineLevel="0" collapsed="false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</row>
    <row r="543" customFormat="false" ht="15.75" hidden="false" customHeight="true" outlineLevel="0" collapsed="false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</row>
    <row r="544" customFormat="false" ht="15.75" hidden="false" customHeight="true" outlineLevel="0" collapsed="false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</row>
    <row r="545" customFormat="false" ht="15.75" hidden="false" customHeight="true" outlineLevel="0" collapsed="false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</row>
    <row r="546" customFormat="false" ht="15.75" hidden="false" customHeight="true" outlineLevel="0" collapsed="false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</row>
    <row r="547" customFormat="false" ht="15.75" hidden="false" customHeight="true" outlineLevel="0" collapsed="false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</row>
    <row r="548" customFormat="false" ht="15.75" hidden="false" customHeight="true" outlineLevel="0" collapsed="false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</row>
    <row r="549" customFormat="false" ht="15.75" hidden="false" customHeight="true" outlineLevel="0" collapsed="false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</row>
    <row r="550" customFormat="false" ht="15.75" hidden="false" customHeight="true" outlineLevel="0" collapsed="false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</row>
    <row r="551" customFormat="false" ht="15.75" hidden="false" customHeight="true" outlineLevel="0" collapsed="false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</row>
    <row r="552" customFormat="false" ht="15.75" hidden="false" customHeight="true" outlineLevel="0" collapsed="false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</row>
    <row r="553" customFormat="false" ht="15.75" hidden="false" customHeight="true" outlineLevel="0" collapsed="false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</row>
    <row r="554" customFormat="false" ht="15.75" hidden="false" customHeight="true" outlineLevel="0" collapsed="false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</row>
    <row r="555" customFormat="false" ht="15.75" hidden="false" customHeight="true" outlineLevel="0" collapsed="false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</row>
    <row r="556" customFormat="false" ht="15.75" hidden="false" customHeight="true" outlineLevel="0" collapsed="false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</row>
    <row r="557" customFormat="false" ht="15.75" hidden="false" customHeight="true" outlineLevel="0" collapsed="false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</row>
    <row r="558" customFormat="false" ht="15.75" hidden="false" customHeight="true" outlineLevel="0" collapsed="false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</row>
    <row r="559" customFormat="false" ht="15.75" hidden="false" customHeight="true" outlineLevel="0" collapsed="false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</row>
    <row r="560" customFormat="false" ht="15.75" hidden="false" customHeight="true" outlineLevel="0" collapsed="false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</row>
    <row r="561" customFormat="false" ht="15.75" hidden="false" customHeight="true" outlineLevel="0" collapsed="false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</row>
    <row r="562" customFormat="false" ht="15.75" hidden="false" customHeight="true" outlineLevel="0" collapsed="false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</row>
    <row r="563" customFormat="false" ht="15.75" hidden="false" customHeight="true" outlineLevel="0" collapsed="false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</row>
    <row r="564" customFormat="false" ht="15.75" hidden="false" customHeight="true" outlineLevel="0" collapsed="false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</row>
    <row r="565" customFormat="false" ht="15.75" hidden="false" customHeight="true" outlineLevel="0" collapsed="false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</row>
    <row r="566" customFormat="false" ht="15.75" hidden="false" customHeight="true" outlineLevel="0" collapsed="false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</row>
    <row r="567" customFormat="false" ht="15.75" hidden="false" customHeight="true" outlineLevel="0" collapsed="false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</row>
    <row r="568" customFormat="false" ht="15.75" hidden="false" customHeight="true" outlineLevel="0" collapsed="false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</row>
    <row r="569" customFormat="false" ht="15.75" hidden="false" customHeight="true" outlineLevel="0" collapsed="false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</row>
    <row r="570" customFormat="false" ht="15.75" hidden="false" customHeight="true" outlineLevel="0" collapsed="false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</row>
    <row r="571" customFormat="false" ht="15.75" hidden="false" customHeight="true" outlineLevel="0" collapsed="false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</row>
    <row r="572" customFormat="false" ht="15.75" hidden="false" customHeight="true" outlineLevel="0" collapsed="false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</row>
    <row r="573" customFormat="false" ht="15.75" hidden="false" customHeight="true" outlineLevel="0" collapsed="false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</row>
    <row r="574" customFormat="false" ht="15.75" hidden="false" customHeight="true" outlineLevel="0" collapsed="false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</row>
    <row r="575" customFormat="false" ht="15.75" hidden="false" customHeight="true" outlineLevel="0" collapsed="false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</row>
    <row r="576" customFormat="false" ht="15.75" hidden="false" customHeight="true" outlineLevel="0" collapsed="false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</row>
    <row r="577" customFormat="false" ht="15.75" hidden="false" customHeight="true" outlineLevel="0" collapsed="false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</row>
    <row r="578" customFormat="false" ht="15.75" hidden="false" customHeight="true" outlineLevel="0" collapsed="false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</row>
    <row r="579" customFormat="false" ht="15.75" hidden="false" customHeight="true" outlineLevel="0" collapsed="false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</row>
    <row r="580" customFormat="false" ht="15.75" hidden="false" customHeight="true" outlineLevel="0" collapsed="false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</row>
    <row r="581" customFormat="false" ht="15.75" hidden="false" customHeight="true" outlineLevel="0" collapsed="false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</row>
    <row r="582" customFormat="false" ht="15.75" hidden="false" customHeight="true" outlineLevel="0" collapsed="false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</row>
    <row r="583" customFormat="false" ht="15.75" hidden="false" customHeight="true" outlineLevel="0" collapsed="false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</row>
    <row r="584" customFormat="false" ht="15.75" hidden="false" customHeight="true" outlineLevel="0" collapsed="false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</row>
    <row r="585" customFormat="false" ht="15.75" hidden="false" customHeight="true" outlineLevel="0" collapsed="false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</row>
    <row r="586" customFormat="false" ht="15.75" hidden="false" customHeight="true" outlineLevel="0" collapsed="false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</row>
    <row r="587" customFormat="false" ht="15.75" hidden="false" customHeight="true" outlineLevel="0" collapsed="false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</row>
    <row r="588" customFormat="false" ht="15.75" hidden="false" customHeight="true" outlineLevel="0" collapsed="false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</row>
    <row r="589" customFormat="false" ht="15.75" hidden="false" customHeight="true" outlineLevel="0" collapsed="false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</row>
    <row r="590" customFormat="false" ht="15.75" hidden="false" customHeight="true" outlineLevel="0" collapsed="false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</row>
    <row r="591" customFormat="false" ht="15.75" hidden="false" customHeight="true" outlineLevel="0" collapsed="false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</row>
    <row r="592" customFormat="false" ht="15.75" hidden="false" customHeight="true" outlineLevel="0" collapsed="false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</row>
    <row r="593" customFormat="false" ht="15.75" hidden="false" customHeight="true" outlineLevel="0" collapsed="false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</row>
    <row r="594" customFormat="false" ht="15.75" hidden="false" customHeight="true" outlineLevel="0" collapsed="false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</row>
    <row r="595" customFormat="false" ht="15.75" hidden="false" customHeight="true" outlineLevel="0" collapsed="false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</row>
    <row r="596" customFormat="false" ht="15.75" hidden="false" customHeight="true" outlineLevel="0" collapsed="false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</row>
    <row r="597" customFormat="false" ht="15.75" hidden="false" customHeight="true" outlineLevel="0" collapsed="false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</row>
    <row r="598" customFormat="false" ht="15.75" hidden="false" customHeight="true" outlineLevel="0" collapsed="false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</row>
    <row r="599" customFormat="false" ht="15.75" hidden="false" customHeight="true" outlineLevel="0" collapsed="false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</row>
    <row r="600" customFormat="false" ht="15.75" hidden="false" customHeight="true" outlineLevel="0" collapsed="false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</row>
    <row r="601" customFormat="false" ht="15.75" hidden="false" customHeight="true" outlineLevel="0" collapsed="false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</row>
    <row r="602" customFormat="false" ht="15.75" hidden="false" customHeight="true" outlineLevel="0" collapsed="false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</row>
    <row r="603" customFormat="false" ht="15.75" hidden="false" customHeight="true" outlineLevel="0" collapsed="false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</row>
    <row r="604" customFormat="false" ht="15.75" hidden="false" customHeight="true" outlineLevel="0" collapsed="false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</row>
    <row r="605" customFormat="false" ht="15.75" hidden="false" customHeight="true" outlineLevel="0" collapsed="false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</row>
    <row r="606" customFormat="false" ht="15.75" hidden="false" customHeight="true" outlineLevel="0" collapsed="false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</row>
    <row r="607" customFormat="false" ht="15.75" hidden="false" customHeight="true" outlineLevel="0" collapsed="false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</row>
    <row r="608" customFormat="false" ht="15.75" hidden="false" customHeight="true" outlineLevel="0" collapsed="false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</row>
    <row r="609" customFormat="false" ht="15.75" hidden="false" customHeight="true" outlineLevel="0" collapsed="false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</row>
    <row r="610" customFormat="false" ht="15.75" hidden="false" customHeight="true" outlineLevel="0" collapsed="false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</row>
    <row r="611" customFormat="false" ht="15.75" hidden="false" customHeight="true" outlineLevel="0" collapsed="false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</row>
    <row r="612" customFormat="false" ht="15.75" hidden="false" customHeight="true" outlineLevel="0" collapsed="false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</row>
    <row r="613" customFormat="false" ht="15.75" hidden="false" customHeight="true" outlineLevel="0" collapsed="false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</row>
    <row r="614" customFormat="false" ht="15.75" hidden="false" customHeight="true" outlineLevel="0" collapsed="false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</row>
    <row r="615" customFormat="false" ht="15.75" hidden="false" customHeight="true" outlineLevel="0" collapsed="false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</row>
    <row r="616" customFormat="false" ht="15.75" hidden="false" customHeight="true" outlineLevel="0" collapsed="false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</row>
    <row r="617" customFormat="false" ht="15.75" hidden="false" customHeight="true" outlineLevel="0" collapsed="false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</row>
    <row r="618" customFormat="false" ht="15.75" hidden="false" customHeight="true" outlineLevel="0" collapsed="false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</row>
    <row r="619" customFormat="false" ht="15.75" hidden="false" customHeight="true" outlineLevel="0" collapsed="false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</row>
    <row r="620" customFormat="false" ht="15.75" hidden="false" customHeight="true" outlineLevel="0" collapsed="false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</row>
    <row r="621" customFormat="false" ht="15.75" hidden="false" customHeight="true" outlineLevel="0" collapsed="false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</row>
    <row r="622" customFormat="false" ht="15.75" hidden="false" customHeight="true" outlineLevel="0" collapsed="false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</row>
    <row r="623" customFormat="false" ht="15.75" hidden="false" customHeight="true" outlineLevel="0" collapsed="false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</row>
    <row r="624" customFormat="false" ht="15.75" hidden="false" customHeight="true" outlineLevel="0" collapsed="false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</row>
    <row r="625" customFormat="false" ht="15.75" hidden="false" customHeight="true" outlineLevel="0" collapsed="false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</row>
    <row r="626" customFormat="false" ht="15.75" hidden="false" customHeight="true" outlineLevel="0" collapsed="false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</row>
    <row r="627" customFormat="false" ht="15.75" hidden="false" customHeight="true" outlineLevel="0" collapsed="false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</row>
    <row r="628" customFormat="false" ht="15.75" hidden="false" customHeight="true" outlineLevel="0" collapsed="false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</row>
    <row r="629" customFormat="false" ht="15.75" hidden="false" customHeight="true" outlineLevel="0" collapsed="false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</row>
    <row r="630" customFormat="false" ht="15.75" hidden="false" customHeight="true" outlineLevel="0" collapsed="false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</row>
    <row r="631" customFormat="false" ht="15.75" hidden="false" customHeight="true" outlineLevel="0" collapsed="false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</row>
    <row r="632" customFormat="false" ht="15.75" hidden="false" customHeight="true" outlineLevel="0" collapsed="false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</row>
    <row r="633" customFormat="false" ht="15.75" hidden="false" customHeight="true" outlineLevel="0" collapsed="false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</row>
    <row r="634" customFormat="false" ht="15.75" hidden="false" customHeight="true" outlineLevel="0" collapsed="false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</row>
    <row r="635" customFormat="false" ht="15.75" hidden="false" customHeight="true" outlineLevel="0" collapsed="false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</row>
    <row r="636" customFormat="false" ht="15.75" hidden="false" customHeight="true" outlineLevel="0" collapsed="false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</row>
    <row r="637" customFormat="false" ht="15.75" hidden="false" customHeight="true" outlineLevel="0" collapsed="false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</row>
    <row r="638" customFormat="false" ht="15.75" hidden="false" customHeight="true" outlineLevel="0" collapsed="false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</row>
    <row r="639" customFormat="false" ht="15.75" hidden="false" customHeight="true" outlineLevel="0" collapsed="false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</row>
    <row r="640" customFormat="false" ht="15.75" hidden="false" customHeight="true" outlineLevel="0" collapsed="false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</row>
    <row r="641" customFormat="false" ht="15.75" hidden="false" customHeight="true" outlineLevel="0" collapsed="false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</row>
    <row r="642" customFormat="false" ht="15.75" hidden="false" customHeight="true" outlineLevel="0" collapsed="false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</row>
    <row r="643" customFormat="false" ht="15.75" hidden="false" customHeight="true" outlineLevel="0" collapsed="false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</row>
    <row r="644" customFormat="false" ht="15.75" hidden="false" customHeight="true" outlineLevel="0" collapsed="false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</row>
    <row r="645" customFormat="false" ht="15.75" hidden="false" customHeight="true" outlineLevel="0" collapsed="false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</row>
    <row r="646" customFormat="false" ht="15.75" hidden="false" customHeight="true" outlineLevel="0" collapsed="false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</row>
    <row r="647" customFormat="false" ht="15.75" hidden="false" customHeight="true" outlineLevel="0" collapsed="false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</row>
    <row r="648" customFormat="false" ht="15.75" hidden="false" customHeight="true" outlineLevel="0" collapsed="false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</row>
    <row r="649" customFormat="false" ht="15.75" hidden="false" customHeight="true" outlineLevel="0" collapsed="false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</row>
    <row r="650" customFormat="false" ht="15.75" hidden="false" customHeight="true" outlineLevel="0" collapsed="false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</row>
    <row r="651" customFormat="false" ht="15.75" hidden="false" customHeight="true" outlineLevel="0" collapsed="false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</row>
    <row r="652" customFormat="false" ht="15.75" hidden="false" customHeight="true" outlineLevel="0" collapsed="false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</row>
    <row r="653" customFormat="false" ht="15.75" hidden="false" customHeight="true" outlineLevel="0" collapsed="false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</row>
    <row r="654" customFormat="false" ht="15.75" hidden="false" customHeight="true" outlineLevel="0" collapsed="false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</row>
    <row r="655" customFormat="false" ht="15.75" hidden="false" customHeight="true" outlineLevel="0" collapsed="false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</row>
    <row r="656" customFormat="false" ht="15.75" hidden="false" customHeight="true" outlineLevel="0" collapsed="false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</row>
    <row r="657" customFormat="false" ht="15.75" hidden="false" customHeight="true" outlineLevel="0" collapsed="false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</row>
    <row r="658" customFormat="false" ht="15.75" hidden="false" customHeight="true" outlineLevel="0" collapsed="false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</row>
    <row r="659" customFormat="false" ht="15.75" hidden="false" customHeight="true" outlineLevel="0" collapsed="false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</row>
    <row r="660" customFormat="false" ht="15.75" hidden="false" customHeight="true" outlineLevel="0" collapsed="false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</row>
    <row r="661" customFormat="false" ht="15.75" hidden="false" customHeight="true" outlineLevel="0" collapsed="false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</row>
    <row r="662" customFormat="false" ht="15.75" hidden="false" customHeight="true" outlineLevel="0" collapsed="false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</row>
    <row r="663" customFormat="false" ht="15.75" hidden="false" customHeight="true" outlineLevel="0" collapsed="false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</row>
    <row r="664" customFormat="false" ht="15.75" hidden="false" customHeight="true" outlineLevel="0" collapsed="false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</row>
    <row r="665" customFormat="false" ht="15.75" hidden="false" customHeight="true" outlineLevel="0" collapsed="false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</row>
    <row r="666" customFormat="false" ht="15.75" hidden="false" customHeight="true" outlineLevel="0" collapsed="false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</row>
    <row r="667" customFormat="false" ht="15.75" hidden="false" customHeight="true" outlineLevel="0" collapsed="false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</row>
    <row r="668" customFormat="false" ht="15.75" hidden="false" customHeight="true" outlineLevel="0" collapsed="false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</row>
    <row r="669" customFormat="false" ht="15.75" hidden="false" customHeight="true" outlineLevel="0" collapsed="false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</row>
    <row r="670" customFormat="false" ht="15.75" hidden="false" customHeight="true" outlineLevel="0" collapsed="false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</row>
    <row r="671" customFormat="false" ht="15.75" hidden="false" customHeight="true" outlineLevel="0" collapsed="false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</row>
    <row r="672" customFormat="false" ht="15.75" hidden="false" customHeight="true" outlineLevel="0" collapsed="false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</row>
    <row r="673" customFormat="false" ht="15.75" hidden="false" customHeight="true" outlineLevel="0" collapsed="false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</row>
    <row r="674" customFormat="false" ht="15.75" hidden="false" customHeight="true" outlineLevel="0" collapsed="false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</row>
    <row r="675" customFormat="false" ht="15.75" hidden="false" customHeight="true" outlineLevel="0" collapsed="false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</row>
    <row r="676" customFormat="false" ht="15.75" hidden="false" customHeight="true" outlineLevel="0" collapsed="false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</row>
    <row r="677" customFormat="false" ht="15.75" hidden="false" customHeight="true" outlineLevel="0" collapsed="false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</row>
    <row r="678" customFormat="false" ht="15.75" hidden="false" customHeight="true" outlineLevel="0" collapsed="false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</row>
    <row r="679" customFormat="false" ht="15.75" hidden="false" customHeight="true" outlineLevel="0" collapsed="false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</row>
    <row r="680" customFormat="false" ht="15.75" hidden="false" customHeight="true" outlineLevel="0" collapsed="false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</row>
    <row r="681" customFormat="false" ht="15.75" hidden="false" customHeight="true" outlineLevel="0" collapsed="false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</row>
    <row r="682" customFormat="false" ht="15.75" hidden="false" customHeight="true" outlineLevel="0" collapsed="false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</row>
    <row r="683" customFormat="false" ht="15.75" hidden="false" customHeight="true" outlineLevel="0" collapsed="false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</row>
    <row r="684" customFormat="false" ht="15.75" hidden="false" customHeight="true" outlineLevel="0" collapsed="false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</row>
    <row r="685" customFormat="false" ht="15.75" hidden="false" customHeight="true" outlineLevel="0" collapsed="false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</row>
    <row r="686" customFormat="false" ht="15.75" hidden="false" customHeight="true" outlineLevel="0" collapsed="false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</row>
    <row r="687" customFormat="false" ht="15.75" hidden="false" customHeight="true" outlineLevel="0" collapsed="false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</row>
    <row r="688" customFormat="false" ht="15.75" hidden="false" customHeight="true" outlineLevel="0" collapsed="false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</row>
    <row r="689" customFormat="false" ht="15.75" hidden="false" customHeight="true" outlineLevel="0" collapsed="false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</row>
    <row r="690" customFormat="false" ht="15.75" hidden="false" customHeight="true" outlineLevel="0" collapsed="false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</row>
    <row r="691" customFormat="false" ht="15.75" hidden="false" customHeight="true" outlineLevel="0" collapsed="false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</row>
    <row r="692" customFormat="false" ht="15.75" hidden="false" customHeight="true" outlineLevel="0" collapsed="false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</row>
    <row r="693" customFormat="false" ht="15.75" hidden="false" customHeight="true" outlineLevel="0" collapsed="false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</row>
    <row r="694" customFormat="false" ht="15.75" hidden="false" customHeight="true" outlineLevel="0" collapsed="false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</row>
    <row r="695" customFormat="false" ht="15.75" hidden="false" customHeight="true" outlineLevel="0" collapsed="false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</row>
    <row r="696" customFormat="false" ht="15.75" hidden="false" customHeight="true" outlineLevel="0" collapsed="false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</row>
    <row r="697" customFormat="false" ht="15.75" hidden="false" customHeight="true" outlineLevel="0" collapsed="false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</row>
    <row r="698" customFormat="false" ht="15.75" hidden="false" customHeight="true" outlineLevel="0" collapsed="false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</row>
    <row r="699" customFormat="false" ht="15.75" hidden="false" customHeight="true" outlineLevel="0" collapsed="false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</row>
    <row r="700" customFormat="false" ht="15.75" hidden="false" customHeight="true" outlineLevel="0" collapsed="false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</row>
    <row r="701" customFormat="false" ht="15.75" hidden="false" customHeight="true" outlineLevel="0" collapsed="false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</row>
    <row r="702" customFormat="false" ht="15.75" hidden="false" customHeight="true" outlineLevel="0" collapsed="false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</row>
    <row r="703" customFormat="false" ht="15.75" hidden="false" customHeight="true" outlineLevel="0" collapsed="false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</row>
    <row r="704" customFormat="false" ht="15.75" hidden="false" customHeight="true" outlineLevel="0" collapsed="false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</row>
    <row r="705" customFormat="false" ht="15.75" hidden="false" customHeight="true" outlineLevel="0" collapsed="false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</row>
    <row r="706" customFormat="false" ht="15.75" hidden="false" customHeight="true" outlineLevel="0" collapsed="false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</row>
    <row r="707" customFormat="false" ht="15.75" hidden="false" customHeight="true" outlineLevel="0" collapsed="false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</row>
    <row r="708" customFormat="false" ht="15.75" hidden="false" customHeight="true" outlineLevel="0" collapsed="false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</row>
    <row r="709" customFormat="false" ht="15.75" hidden="false" customHeight="true" outlineLevel="0" collapsed="false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</row>
    <row r="710" customFormat="false" ht="15.75" hidden="false" customHeight="true" outlineLevel="0" collapsed="false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</row>
    <row r="711" customFormat="false" ht="15.75" hidden="false" customHeight="true" outlineLevel="0" collapsed="false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</row>
    <row r="712" customFormat="false" ht="15.75" hidden="false" customHeight="true" outlineLevel="0" collapsed="false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</row>
    <row r="713" customFormat="false" ht="15.75" hidden="false" customHeight="true" outlineLevel="0" collapsed="false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</row>
    <row r="714" customFormat="false" ht="15.75" hidden="false" customHeight="true" outlineLevel="0" collapsed="false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</row>
    <row r="715" customFormat="false" ht="15.75" hidden="false" customHeight="true" outlineLevel="0" collapsed="false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</row>
    <row r="716" customFormat="false" ht="15.75" hidden="false" customHeight="true" outlineLevel="0" collapsed="false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</row>
    <row r="717" customFormat="false" ht="15.75" hidden="false" customHeight="true" outlineLevel="0" collapsed="false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</row>
    <row r="718" customFormat="false" ht="15.75" hidden="false" customHeight="true" outlineLevel="0" collapsed="false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</row>
    <row r="719" customFormat="false" ht="15.75" hidden="false" customHeight="true" outlineLevel="0" collapsed="false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</row>
    <row r="720" customFormat="false" ht="15.75" hidden="false" customHeight="true" outlineLevel="0" collapsed="false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</row>
    <row r="721" customFormat="false" ht="15.75" hidden="false" customHeight="true" outlineLevel="0" collapsed="false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</row>
    <row r="722" customFormat="false" ht="15.75" hidden="false" customHeight="true" outlineLevel="0" collapsed="false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</row>
    <row r="723" customFormat="false" ht="15.75" hidden="false" customHeight="true" outlineLevel="0" collapsed="false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</row>
    <row r="724" customFormat="false" ht="15.75" hidden="false" customHeight="true" outlineLevel="0" collapsed="false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</row>
    <row r="725" customFormat="false" ht="15.75" hidden="false" customHeight="true" outlineLevel="0" collapsed="false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</row>
    <row r="726" customFormat="false" ht="15.75" hidden="false" customHeight="true" outlineLevel="0" collapsed="false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</row>
    <row r="727" customFormat="false" ht="15.75" hidden="false" customHeight="true" outlineLevel="0" collapsed="false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</row>
    <row r="728" customFormat="false" ht="15.75" hidden="false" customHeight="true" outlineLevel="0" collapsed="false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</row>
    <row r="729" customFormat="false" ht="15.75" hidden="false" customHeight="true" outlineLevel="0" collapsed="false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</row>
    <row r="730" customFormat="false" ht="15.75" hidden="false" customHeight="true" outlineLevel="0" collapsed="false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</row>
    <row r="731" customFormat="false" ht="15.75" hidden="false" customHeight="true" outlineLevel="0" collapsed="false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</row>
    <row r="732" customFormat="false" ht="15.75" hidden="false" customHeight="true" outlineLevel="0" collapsed="false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</row>
    <row r="733" customFormat="false" ht="15.75" hidden="false" customHeight="true" outlineLevel="0" collapsed="false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</row>
    <row r="734" customFormat="false" ht="15.75" hidden="false" customHeight="true" outlineLevel="0" collapsed="false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</row>
    <row r="735" customFormat="false" ht="15.75" hidden="false" customHeight="true" outlineLevel="0" collapsed="false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</row>
    <row r="736" customFormat="false" ht="15.75" hidden="false" customHeight="true" outlineLevel="0" collapsed="false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</row>
    <row r="737" customFormat="false" ht="15.75" hidden="false" customHeight="true" outlineLevel="0" collapsed="false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</row>
    <row r="738" customFormat="false" ht="15.75" hidden="false" customHeight="true" outlineLevel="0" collapsed="false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</row>
    <row r="739" customFormat="false" ht="15.75" hidden="false" customHeight="true" outlineLevel="0" collapsed="false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</row>
    <row r="740" customFormat="false" ht="15.75" hidden="false" customHeight="true" outlineLevel="0" collapsed="false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</row>
    <row r="741" customFormat="false" ht="15.75" hidden="false" customHeight="true" outlineLevel="0" collapsed="false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</row>
    <row r="742" customFormat="false" ht="15.75" hidden="false" customHeight="true" outlineLevel="0" collapsed="false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</row>
    <row r="743" customFormat="false" ht="15.75" hidden="false" customHeight="true" outlineLevel="0" collapsed="false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</row>
    <row r="744" customFormat="false" ht="15.75" hidden="false" customHeight="true" outlineLevel="0" collapsed="false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</row>
    <row r="745" customFormat="false" ht="15.75" hidden="false" customHeight="true" outlineLevel="0" collapsed="false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</row>
    <row r="746" customFormat="false" ht="15.75" hidden="false" customHeight="true" outlineLevel="0" collapsed="false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</row>
    <row r="747" customFormat="false" ht="15.75" hidden="false" customHeight="true" outlineLevel="0" collapsed="false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</row>
    <row r="748" customFormat="false" ht="15.75" hidden="false" customHeight="true" outlineLevel="0" collapsed="false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</row>
    <row r="749" customFormat="false" ht="15.75" hidden="false" customHeight="true" outlineLevel="0" collapsed="false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</row>
    <row r="750" customFormat="false" ht="15.75" hidden="false" customHeight="true" outlineLevel="0" collapsed="false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</row>
    <row r="751" customFormat="false" ht="15.75" hidden="false" customHeight="true" outlineLevel="0" collapsed="false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</row>
    <row r="752" customFormat="false" ht="15.75" hidden="false" customHeight="true" outlineLevel="0" collapsed="false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</row>
    <row r="753" customFormat="false" ht="15.75" hidden="false" customHeight="true" outlineLevel="0" collapsed="false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</row>
    <row r="754" customFormat="false" ht="15.75" hidden="false" customHeight="true" outlineLevel="0" collapsed="false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</row>
    <row r="755" customFormat="false" ht="15.75" hidden="false" customHeight="true" outlineLevel="0" collapsed="false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</row>
    <row r="756" customFormat="false" ht="15.75" hidden="false" customHeight="true" outlineLevel="0" collapsed="false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</row>
    <row r="757" customFormat="false" ht="15.75" hidden="false" customHeight="true" outlineLevel="0" collapsed="false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</row>
    <row r="758" customFormat="false" ht="15.75" hidden="false" customHeight="true" outlineLevel="0" collapsed="false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</row>
    <row r="759" customFormat="false" ht="15.75" hidden="false" customHeight="true" outlineLevel="0" collapsed="false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</row>
    <row r="760" customFormat="false" ht="15.75" hidden="false" customHeight="true" outlineLevel="0" collapsed="false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</row>
    <row r="761" customFormat="false" ht="15.75" hidden="false" customHeight="true" outlineLevel="0" collapsed="false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</row>
    <row r="762" customFormat="false" ht="15.75" hidden="false" customHeight="true" outlineLevel="0" collapsed="false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</row>
    <row r="763" customFormat="false" ht="15.75" hidden="false" customHeight="true" outlineLevel="0" collapsed="false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</row>
    <row r="764" customFormat="false" ht="15.75" hidden="false" customHeight="true" outlineLevel="0" collapsed="false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</row>
    <row r="765" customFormat="false" ht="15.75" hidden="false" customHeight="true" outlineLevel="0" collapsed="false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</row>
    <row r="766" customFormat="false" ht="15.75" hidden="false" customHeight="true" outlineLevel="0" collapsed="false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</row>
    <row r="767" customFormat="false" ht="15.75" hidden="false" customHeight="true" outlineLevel="0" collapsed="false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</row>
    <row r="768" customFormat="false" ht="15.75" hidden="false" customHeight="true" outlineLevel="0" collapsed="false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</row>
    <row r="769" customFormat="false" ht="15.75" hidden="false" customHeight="true" outlineLevel="0" collapsed="false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</row>
    <row r="770" customFormat="false" ht="15.75" hidden="false" customHeight="true" outlineLevel="0" collapsed="false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</row>
    <row r="771" customFormat="false" ht="15.75" hidden="false" customHeight="true" outlineLevel="0" collapsed="false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</row>
    <row r="772" customFormat="false" ht="15.75" hidden="false" customHeight="true" outlineLevel="0" collapsed="false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</row>
    <row r="773" customFormat="false" ht="15.75" hidden="false" customHeight="true" outlineLevel="0" collapsed="false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</row>
    <row r="774" customFormat="false" ht="15.75" hidden="false" customHeight="true" outlineLevel="0" collapsed="false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</row>
    <row r="775" customFormat="false" ht="15.75" hidden="false" customHeight="true" outlineLevel="0" collapsed="false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</row>
    <row r="776" customFormat="false" ht="15.75" hidden="false" customHeight="true" outlineLevel="0" collapsed="false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</row>
    <row r="777" customFormat="false" ht="15.75" hidden="false" customHeight="true" outlineLevel="0" collapsed="false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</row>
    <row r="778" customFormat="false" ht="15.75" hidden="false" customHeight="true" outlineLevel="0" collapsed="false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</row>
    <row r="779" customFormat="false" ht="15.75" hidden="false" customHeight="true" outlineLevel="0" collapsed="false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</row>
    <row r="780" customFormat="false" ht="15.75" hidden="false" customHeight="true" outlineLevel="0" collapsed="false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</row>
    <row r="781" customFormat="false" ht="15.75" hidden="false" customHeight="true" outlineLevel="0" collapsed="false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</row>
    <row r="782" customFormat="false" ht="15.75" hidden="false" customHeight="true" outlineLevel="0" collapsed="false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</row>
    <row r="783" customFormat="false" ht="15.75" hidden="false" customHeight="true" outlineLevel="0" collapsed="false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</row>
    <row r="784" customFormat="false" ht="15.75" hidden="false" customHeight="true" outlineLevel="0" collapsed="false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</row>
    <row r="785" customFormat="false" ht="15.75" hidden="false" customHeight="true" outlineLevel="0" collapsed="false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</row>
    <row r="786" customFormat="false" ht="15.75" hidden="false" customHeight="true" outlineLevel="0" collapsed="false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</row>
    <row r="787" customFormat="false" ht="15.75" hidden="false" customHeight="true" outlineLevel="0" collapsed="false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</row>
    <row r="788" customFormat="false" ht="15.75" hidden="false" customHeight="true" outlineLevel="0" collapsed="false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</row>
    <row r="789" customFormat="false" ht="15.75" hidden="false" customHeight="true" outlineLevel="0" collapsed="false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</row>
    <row r="790" customFormat="false" ht="15.75" hidden="false" customHeight="true" outlineLevel="0" collapsed="false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</row>
    <row r="791" customFormat="false" ht="15.75" hidden="false" customHeight="true" outlineLevel="0" collapsed="false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</row>
    <row r="792" customFormat="false" ht="15.75" hidden="false" customHeight="true" outlineLevel="0" collapsed="false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</row>
    <row r="793" customFormat="false" ht="15.75" hidden="false" customHeight="true" outlineLevel="0" collapsed="false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</row>
    <row r="794" customFormat="false" ht="15.75" hidden="false" customHeight="true" outlineLevel="0" collapsed="false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</row>
    <row r="795" customFormat="false" ht="15.75" hidden="false" customHeight="true" outlineLevel="0" collapsed="false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</row>
    <row r="796" customFormat="false" ht="15.75" hidden="false" customHeight="true" outlineLevel="0" collapsed="false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</row>
    <row r="797" customFormat="false" ht="15.75" hidden="false" customHeight="true" outlineLevel="0" collapsed="false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</row>
    <row r="798" customFormat="false" ht="15.75" hidden="false" customHeight="true" outlineLevel="0" collapsed="false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</row>
    <row r="799" customFormat="false" ht="15.75" hidden="false" customHeight="true" outlineLevel="0" collapsed="false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</row>
    <row r="800" customFormat="false" ht="15.75" hidden="false" customHeight="true" outlineLevel="0" collapsed="false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</row>
    <row r="801" customFormat="false" ht="15.75" hidden="false" customHeight="true" outlineLevel="0" collapsed="false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</row>
    <row r="802" customFormat="false" ht="15.75" hidden="false" customHeight="true" outlineLevel="0" collapsed="false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</row>
    <row r="803" customFormat="false" ht="15.75" hidden="false" customHeight="true" outlineLevel="0" collapsed="false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</row>
    <row r="804" customFormat="false" ht="15.75" hidden="false" customHeight="true" outlineLevel="0" collapsed="false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</row>
    <row r="805" customFormat="false" ht="15.75" hidden="false" customHeight="true" outlineLevel="0" collapsed="false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</row>
    <row r="806" customFormat="false" ht="15.75" hidden="false" customHeight="true" outlineLevel="0" collapsed="false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</row>
    <row r="807" customFormat="false" ht="15.75" hidden="false" customHeight="true" outlineLevel="0" collapsed="false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</row>
    <row r="808" customFormat="false" ht="15.75" hidden="false" customHeight="true" outlineLevel="0" collapsed="false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</row>
    <row r="809" customFormat="false" ht="15.75" hidden="false" customHeight="true" outlineLevel="0" collapsed="false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</row>
    <row r="810" customFormat="false" ht="15.75" hidden="false" customHeight="true" outlineLevel="0" collapsed="false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</row>
    <row r="811" customFormat="false" ht="15.75" hidden="false" customHeight="true" outlineLevel="0" collapsed="false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</row>
    <row r="812" customFormat="false" ht="15.75" hidden="false" customHeight="true" outlineLevel="0" collapsed="false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</row>
    <row r="813" customFormat="false" ht="15.75" hidden="false" customHeight="true" outlineLevel="0" collapsed="false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</row>
    <row r="814" customFormat="false" ht="15.75" hidden="false" customHeight="true" outlineLevel="0" collapsed="false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</row>
    <row r="815" customFormat="false" ht="15.75" hidden="false" customHeight="true" outlineLevel="0" collapsed="false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</row>
    <row r="816" customFormat="false" ht="15.75" hidden="false" customHeight="true" outlineLevel="0" collapsed="false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</row>
    <row r="817" customFormat="false" ht="15.75" hidden="false" customHeight="true" outlineLevel="0" collapsed="false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</row>
    <row r="818" customFormat="false" ht="15.75" hidden="false" customHeight="true" outlineLevel="0" collapsed="false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</row>
    <row r="819" customFormat="false" ht="15.75" hidden="false" customHeight="true" outlineLevel="0" collapsed="false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</row>
    <row r="820" customFormat="false" ht="15.75" hidden="false" customHeight="true" outlineLevel="0" collapsed="false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</row>
    <row r="821" customFormat="false" ht="15.75" hidden="false" customHeight="true" outlineLevel="0" collapsed="false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</row>
    <row r="822" customFormat="false" ht="15.75" hidden="false" customHeight="true" outlineLevel="0" collapsed="false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</row>
    <row r="823" customFormat="false" ht="15.75" hidden="false" customHeight="true" outlineLevel="0" collapsed="false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</row>
    <row r="824" customFormat="false" ht="15.75" hidden="false" customHeight="true" outlineLevel="0" collapsed="false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</row>
    <row r="825" customFormat="false" ht="15.75" hidden="false" customHeight="true" outlineLevel="0" collapsed="false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</row>
    <row r="826" customFormat="false" ht="15.75" hidden="false" customHeight="true" outlineLevel="0" collapsed="false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</row>
    <row r="827" customFormat="false" ht="15.75" hidden="false" customHeight="true" outlineLevel="0" collapsed="false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</row>
    <row r="828" customFormat="false" ht="15.75" hidden="false" customHeight="true" outlineLevel="0" collapsed="false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</row>
    <row r="829" customFormat="false" ht="15.75" hidden="false" customHeight="true" outlineLevel="0" collapsed="false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</row>
    <row r="830" customFormat="false" ht="15.75" hidden="false" customHeight="true" outlineLevel="0" collapsed="false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</row>
    <row r="831" customFormat="false" ht="15.75" hidden="false" customHeight="true" outlineLevel="0" collapsed="false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</row>
    <row r="832" customFormat="false" ht="15.75" hidden="false" customHeight="true" outlineLevel="0" collapsed="false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</row>
    <row r="833" customFormat="false" ht="15.75" hidden="false" customHeight="true" outlineLevel="0" collapsed="false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</row>
    <row r="834" customFormat="false" ht="15.75" hidden="false" customHeight="true" outlineLevel="0" collapsed="false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</row>
    <row r="835" customFormat="false" ht="15.75" hidden="false" customHeight="true" outlineLevel="0" collapsed="false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</row>
    <row r="836" customFormat="false" ht="15.75" hidden="false" customHeight="true" outlineLevel="0" collapsed="false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</row>
    <row r="837" customFormat="false" ht="15.75" hidden="false" customHeight="true" outlineLevel="0" collapsed="false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</row>
    <row r="838" customFormat="false" ht="15.75" hidden="false" customHeight="true" outlineLevel="0" collapsed="false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</row>
    <row r="839" customFormat="false" ht="15.75" hidden="false" customHeight="true" outlineLevel="0" collapsed="false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</row>
    <row r="840" customFormat="false" ht="15.75" hidden="false" customHeight="true" outlineLevel="0" collapsed="false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</row>
    <row r="841" customFormat="false" ht="15.75" hidden="false" customHeight="true" outlineLevel="0" collapsed="false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</row>
    <row r="842" customFormat="false" ht="15.75" hidden="false" customHeight="true" outlineLevel="0" collapsed="false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</row>
    <row r="843" customFormat="false" ht="15.75" hidden="false" customHeight="true" outlineLevel="0" collapsed="false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</row>
    <row r="844" customFormat="false" ht="15.75" hidden="false" customHeight="true" outlineLevel="0" collapsed="false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</row>
    <row r="845" customFormat="false" ht="15.75" hidden="false" customHeight="true" outlineLevel="0" collapsed="false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</row>
    <row r="846" customFormat="false" ht="15.75" hidden="false" customHeight="true" outlineLevel="0" collapsed="false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</row>
    <row r="847" customFormat="false" ht="15.75" hidden="false" customHeight="true" outlineLevel="0" collapsed="false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</row>
    <row r="848" customFormat="false" ht="15.75" hidden="false" customHeight="true" outlineLevel="0" collapsed="false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</row>
    <row r="849" customFormat="false" ht="15.75" hidden="false" customHeight="true" outlineLevel="0" collapsed="false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</row>
    <row r="850" customFormat="false" ht="15.75" hidden="false" customHeight="true" outlineLevel="0" collapsed="false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</row>
    <row r="851" customFormat="false" ht="15.75" hidden="false" customHeight="true" outlineLevel="0" collapsed="false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</row>
    <row r="852" customFormat="false" ht="15.75" hidden="false" customHeight="true" outlineLevel="0" collapsed="false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</row>
    <row r="853" customFormat="false" ht="15.75" hidden="false" customHeight="true" outlineLevel="0" collapsed="false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</row>
    <row r="854" customFormat="false" ht="15.75" hidden="false" customHeight="true" outlineLevel="0" collapsed="false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</row>
    <row r="855" customFormat="false" ht="15.75" hidden="false" customHeight="true" outlineLevel="0" collapsed="false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</row>
    <row r="856" customFormat="false" ht="15.75" hidden="false" customHeight="true" outlineLevel="0" collapsed="false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</row>
    <row r="857" customFormat="false" ht="15.75" hidden="false" customHeight="true" outlineLevel="0" collapsed="false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</row>
    <row r="858" customFormat="false" ht="15.75" hidden="false" customHeight="true" outlineLevel="0" collapsed="false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</row>
    <row r="859" customFormat="false" ht="15.75" hidden="false" customHeight="true" outlineLevel="0" collapsed="false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</row>
    <row r="860" customFormat="false" ht="15.75" hidden="false" customHeight="true" outlineLevel="0" collapsed="false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</row>
    <row r="861" customFormat="false" ht="15.75" hidden="false" customHeight="true" outlineLevel="0" collapsed="false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</row>
    <row r="862" customFormat="false" ht="15.75" hidden="false" customHeight="true" outlineLevel="0" collapsed="false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</row>
    <row r="863" customFormat="false" ht="15.75" hidden="false" customHeight="true" outlineLevel="0" collapsed="false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</row>
    <row r="864" customFormat="false" ht="15.75" hidden="false" customHeight="true" outlineLevel="0" collapsed="false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</row>
    <row r="865" customFormat="false" ht="15.75" hidden="false" customHeight="true" outlineLevel="0" collapsed="false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</row>
    <row r="866" customFormat="false" ht="15.75" hidden="false" customHeight="true" outlineLevel="0" collapsed="false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</row>
    <row r="867" customFormat="false" ht="15.75" hidden="false" customHeight="true" outlineLevel="0" collapsed="false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</row>
    <row r="868" customFormat="false" ht="15.75" hidden="false" customHeight="true" outlineLevel="0" collapsed="false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</row>
    <row r="869" customFormat="false" ht="15.75" hidden="false" customHeight="true" outlineLevel="0" collapsed="false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</row>
    <row r="870" customFormat="false" ht="15.75" hidden="false" customHeight="true" outlineLevel="0" collapsed="false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</row>
    <row r="871" customFormat="false" ht="15.75" hidden="false" customHeight="true" outlineLevel="0" collapsed="false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</row>
    <row r="872" customFormat="false" ht="15.75" hidden="false" customHeight="true" outlineLevel="0" collapsed="false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</row>
    <row r="873" customFormat="false" ht="15.75" hidden="false" customHeight="true" outlineLevel="0" collapsed="false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</row>
    <row r="874" customFormat="false" ht="15.75" hidden="false" customHeight="true" outlineLevel="0" collapsed="false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</row>
    <row r="875" customFormat="false" ht="15.75" hidden="false" customHeight="true" outlineLevel="0" collapsed="false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</row>
    <row r="876" customFormat="false" ht="15.75" hidden="false" customHeight="true" outlineLevel="0" collapsed="false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</row>
    <row r="877" customFormat="false" ht="15.75" hidden="false" customHeight="true" outlineLevel="0" collapsed="false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</row>
    <row r="878" customFormat="false" ht="15.75" hidden="false" customHeight="true" outlineLevel="0" collapsed="false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</row>
    <row r="879" customFormat="false" ht="15.75" hidden="false" customHeight="true" outlineLevel="0" collapsed="false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</row>
    <row r="880" customFormat="false" ht="15.75" hidden="false" customHeight="true" outlineLevel="0" collapsed="false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</row>
    <row r="881" customFormat="false" ht="15.75" hidden="false" customHeight="true" outlineLevel="0" collapsed="false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</row>
    <row r="882" customFormat="false" ht="15.75" hidden="false" customHeight="true" outlineLevel="0" collapsed="false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</row>
    <row r="883" customFormat="false" ht="15.75" hidden="false" customHeight="true" outlineLevel="0" collapsed="false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</row>
    <row r="884" customFormat="false" ht="15.75" hidden="false" customHeight="true" outlineLevel="0" collapsed="false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</row>
    <row r="885" customFormat="false" ht="15.75" hidden="false" customHeight="true" outlineLevel="0" collapsed="false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</row>
    <row r="886" customFormat="false" ht="15.75" hidden="false" customHeight="true" outlineLevel="0" collapsed="false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</row>
    <row r="887" customFormat="false" ht="15.75" hidden="false" customHeight="true" outlineLevel="0" collapsed="false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</row>
    <row r="888" customFormat="false" ht="15.75" hidden="false" customHeight="true" outlineLevel="0" collapsed="false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</row>
    <row r="889" customFormat="false" ht="15.75" hidden="false" customHeight="true" outlineLevel="0" collapsed="false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</row>
    <row r="890" customFormat="false" ht="15.75" hidden="false" customHeight="true" outlineLevel="0" collapsed="false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</row>
    <row r="891" customFormat="false" ht="15.75" hidden="false" customHeight="true" outlineLevel="0" collapsed="false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</row>
    <row r="892" customFormat="false" ht="15.75" hidden="false" customHeight="true" outlineLevel="0" collapsed="false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</row>
    <row r="893" customFormat="false" ht="15.75" hidden="false" customHeight="true" outlineLevel="0" collapsed="false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</row>
    <row r="894" customFormat="false" ht="15.75" hidden="false" customHeight="true" outlineLevel="0" collapsed="false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</row>
    <row r="895" customFormat="false" ht="15.75" hidden="false" customHeight="true" outlineLevel="0" collapsed="false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</row>
    <row r="896" customFormat="false" ht="15.75" hidden="false" customHeight="true" outlineLevel="0" collapsed="false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</row>
    <row r="897" customFormat="false" ht="15.75" hidden="false" customHeight="true" outlineLevel="0" collapsed="false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</row>
    <row r="898" customFormat="false" ht="15.75" hidden="false" customHeight="true" outlineLevel="0" collapsed="false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</row>
    <row r="899" customFormat="false" ht="15.75" hidden="false" customHeight="true" outlineLevel="0" collapsed="false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</row>
    <row r="900" customFormat="false" ht="15.75" hidden="false" customHeight="true" outlineLevel="0" collapsed="false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</row>
    <row r="901" customFormat="false" ht="15.75" hidden="false" customHeight="true" outlineLevel="0" collapsed="false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</row>
    <row r="902" customFormat="false" ht="15.75" hidden="false" customHeight="true" outlineLevel="0" collapsed="false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</row>
    <row r="903" customFormat="false" ht="15.75" hidden="false" customHeight="true" outlineLevel="0" collapsed="false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</row>
    <row r="904" customFormat="false" ht="15.75" hidden="false" customHeight="true" outlineLevel="0" collapsed="false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</row>
    <row r="905" customFormat="false" ht="15.75" hidden="false" customHeight="true" outlineLevel="0" collapsed="false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</row>
    <row r="906" customFormat="false" ht="15.75" hidden="false" customHeight="true" outlineLevel="0" collapsed="false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</row>
    <row r="907" customFormat="false" ht="15.75" hidden="false" customHeight="true" outlineLevel="0" collapsed="false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</row>
    <row r="908" customFormat="false" ht="15.75" hidden="false" customHeight="true" outlineLevel="0" collapsed="false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</row>
    <row r="909" customFormat="false" ht="15.75" hidden="false" customHeight="true" outlineLevel="0" collapsed="false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</row>
    <row r="910" customFormat="false" ht="15.75" hidden="false" customHeight="true" outlineLevel="0" collapsed="false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</row>
    <row r="911" customFormat="false" ht="15.75" hidden="false" customHeight="true" outlineLevel="0" collapsed="false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</row>
    <row r="912" customFormat="false" ht="15.75" hidden="false" customHeight="true" outlineLevel="0" collapsed="false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</row>
    <row r="913" customFormat="false" ht="15.75" hidden="false" customHeight="true" outlineLevel="0" collapsed="false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</row>
    <row r="914" customFormat="false" ht="15.75" hidden="false" customHeight="true" outlineLevel="0" collapsed="false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</row>
    <row r="915" customFormat="false" ht="15.75" hidden="false" customHeight="true" outlineLevel="0" collapsed="false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</row>
    <row r="916" customFormat="false" ht="15.75" hidden="false" customHeight="true" outlineLevel="0" collapsed="false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</row>
    <row r="917" customFormat="false" ht="15.75" hidden="false" customHeight="true" outlineLevel="0" collapsed="false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</row>
    <row r="918" customFormat="false" ht="15.75" hidden="false" customHeight="true" outlineLevel="0" collapsed="false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</row>
    <row r="919" customFormat="false" ht="15.75" hidden="false" customHeight="true" outlineLevel="0" collapsed="false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</row>
    <row r="920" customFormat="false" ht="15.75" hidden="false" customHeight="true" outlineLevel="0" collapsed="false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</row>
    <row r="921" customFormat="false" ht="15.75" hidden="false" customHeight="true" outlineLevel="0" collapsed="false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</row>
    <row r="922" customFormat="false" ht="15.75" hidden="false" customHeight="true" outlineLevel="0" collapsed="false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</row>
    <row r="923" customFormat="false" ht="15.75" hidden="false" customHeight="true" outlineLevel="0" collapsed="false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</row>
    <row r="924" customFormat="false" ht="15.75" hidden="false" customHeight="true" outlineLevel="0" collapsed="false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</row>
    <row r="925" customFormat="false" ht="15.75" hidden="false" customHeight="true" outlineLevel="0" collapsed="false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</row>
    <row r="926" customFormat="false" ht="15.75" hidden="false" customHeight="true" outlineLevel="0" collapsed="false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</row>
    <row r="927" customFormat="false" ht="15.75" hidden="false" customHeight="true" outlineLevel="0" collapsed="false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</row>
    <row r="928" customFormat="false" ht="15.75" hidden="false" customHeight="true" outlineLevel="0" collapsed="false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</row>
    <row r="929" customFormat="false" ht="15.75" hidden="false" customHeight="true" outlineLevel="0" collapsed="false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</row>
    <row r="930" customFormat="false" ht="15.75" hidden="false" customHeight="true" outlineLevel="0" collapsed="false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</row>
    <row r="931" customFormat="false" ht="15.75" hidden="false" customHeight="true" outlineLevel="0" collapsed="false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</row>
    <row r="932" customFormat="false" ht="15.75" hidden="false" customHeight="true" outlineLevel="0" collapsed="false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</row>
    <row r="933" customFormat="false" ht="15.75" hidden="false" customHeight="true" outlineLevel="0" collapsed="false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</row>
    <row r="934" customFormat="false" ht="15.75" hidden="false" customHeight="true" outlineLevel="0" collapsed="false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</row>
    <row r="935" customFormat="false" ht="15.75" hidden="false" customHeight="true" outlineLevel="0" collapsed="false">
      <c r="A935" s="77"/>
      <c r="B935" s="77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</row>
    <row r="936" customFormat="false" ht="15.75" hidden="false" customHeight="true" outlineLevel="0" collapsed="false">
      <c r="A936" s="77"/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</row>
    <row r="937" customFormat="false" ht="15.75" hidden="false" customHeight="true" outlineLevel="0" collapsed="false">
      <c r="A937" s="77"/>
      <c r="B937" s="77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</row>
    <row r="938" customFormat="false" ht="15.75" hidden="false" customHeight="true" outlineLevel="0" collapsed="false">
      <c r="A938" s="77"/>
      <c r="B938" s="77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</row>
    <row r="939" customFormat="false" ht="15.75" hidden="false" customHeight="true" outlineLevel="0" collapsed="false">
      <c r="A939" s="77"/>
      <c r="B939" s="77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</row>
    <row r="940" customFormat="false" ht="15.75" hidden="false" customHeight="true" outlineLevel="0" collapsed="false">
      <c r="A940" s="77"/>
      <c r="B940" s="77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</row>
    <row r="941" customFormat="false" ht="15.75" hidden="false" customHeight="true" outlineLevel="0" collapsed="false">
      <c r="A941" s="77"/>
      <c r="B941" s="77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</row>
    <row r="942" customFormat="false" ht="15.75" hidden="false" customHeight="true" outlineLevel="0" collapsed="false">
      <c r="A942" s="77"/>
      <c r="B942" s="77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</row>
    <row r="943" customFormat="false" ht="15.75" hidden="false" customHeight="true" outlineLevel="0" collapsed="false">
      <c r="A943" s="77"/>
      <c r="B943" s="77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</row>
    <row r="944" customFormat="false" ht="15.75" hidden="false" customHeight="true" outlineLevel="0" collapsed="false">
      <c r="A944" s="77"/>
      <c r="B944" s="77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</row>
    <row r="945" customFormat="false" ht="15.75" hidden="false" customHeight="true" outlineLevel="0" collapsed="false">
      <c r="A945" s="77"/>
      <c r="B945" s="77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</row>
    <row r="946" customFormat="false" ht="15.75" hidden="false" customHeight="true" outlineLevel="0" collapsed="false">
      <c r="A946" s="77"/>
      <c r="B946" s="77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</row>
    <row r="947" customFormat="false" ht="15.75" hidden="false" customHeight="true" outlineLevel="0" collapsed="false">
      <c r="A947" s="77"/>
      <c r="B947" s="77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</row>
    <row r="948" customFormat="false" ht="15.75" hidden="false" customHeight="true" outlineLevel="0" collapsed="false">
      <c r="A948" s="77"/>
      <c r="B948" s="77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</row>
    <row r="949" customFormat="false" ht="15.75" hidden="false" customHeight="true" outlineLevel="0" collapsed="false">
      <c r="A949" s="77"/>
      <c r="B949" s="77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</row>
    <row r="950" customFormat="false" ht="15.75" hidden="false" customHeight="true" outlineLevel="0" collapsed="false">
      <c r="A950" s="77"/>
      <c r="B950" s="77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</row>
    <row r="951" customFormat="false" ht="15.75" hidden="false" customHeight="true" outlineLevel="0" collapsed="false">
      <c r="A951" s="77"/>
      <c r="B951" s="77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</row>
    <row r="952" customFormat="false" ht="15.75" hidden="false" customHeight="true" outlineLevel="0" collapsed="false">
      <c r="A952" s="77"/>
      <c r="B952" s="77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</row>
    <row r="953" customFormat="false" ht="15.75" hidden="false" customHeight="true" outlineLevel="0" collapsed="false">
      <c r="A953" s="77"/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</row>
    <row r="954" customFormat="false" ht="15.75" hidden="false" customHeight="true" outlineLevel="0" collapsed="false">
      <c r="A954" s="77"/>
      <c r="B954" s="77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</row>
    <row r="955" customFormat="false" ht="15.75" hidden="false" customHeight="true" outlineLevel="0" collapsed="false">
      <c r="A955" s="77"/>
      <c r="B955" s="77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</row>
    <row r="956" customFormat="false" ht="15.75" hidden="false" customHeight="true" outlineLevel="0" collapsed="false">
      <c r="A956" s="77"/>
      <c r="B956" s="77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</row>
    <row r="957" customFormat="false" ht="15.75" hidden="false" customHeight="true" outlineLevel="0" collapsed="false">
      <c r="A957" s="77"/>
      <c r="B957" s="77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</row>
    <row r="958" customFormat="false" ht="15.75" hidden="false" customHeight="true" outlineLevel="0" collapsed="false">
      <c r="A958" s="77"/>
      <c r="B958" s="77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</row>
    <row r="959" customFormat="false" ht="15.75" hidden="false" customHeight="true" outlineLevel="0" collapsed="false">
      <c r="A959" s="77"/>
      <c r="B959" s="77"/>
      <c r="C959" s="77"/>
      <c r="D959" s="77"/>
      <c r="E959" s="77"/>
      <c r="F959" s="77"/>
      <c r="G959" s="77"/>
      <c r="H959" s="77"/>
      <c r="I959" s="77"/>
      <c r="J959" s="77"/>
      <c r="K959" s="77"/>
      <c r="L959" s="77"/>
      <c r="M959" s="77"/>
      <c r="N959" s="77"/>
      <c r="O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</row>
    <row r="960" customFormat="false" ht="15.75" hidden="false" customHeight="true" outlineLevel="0" collapsed="false">
      <c r="A960" s="77"/>
      <c r="B960" s="77"/>
      <c r="C960" s="77"/>
      <c r="D960" s="77"/>
      <c r="E960" s="77"/>
      <c r="F960" s="77"/>
      <c r="G960" s="77"/>
      <c r="H960" s="77"/>
      <c r="I960" s="77"/>
      <c r="J960" s="77"/>
      <c r="K960" s="77"/>
      <c r="L960" s="77"/>
      <c r="M960" s="77"/>
      <c r="N960" s="77"/>
      <c r="O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</row>
    <row r="961" customFormat="false" ht="15.75" hidden="false" customHeight="true" outlineLevel="0" collapsed="false">
      <c r="A961" s="77"/>
      <c r="B961" s="77"/>
      <c r="C961" s="77"/>
      <c r="D961" s="77"/>
      <c r="E961" s="77"/>
      <c r="F961" s="77"/>
      <c r="G961" s="77"/>
      <c r="H961" s="77"/>
      <c r="I961" s="77"/>
      <c r="J961" s="77"/>
      <c r="K961" s="77"/>
      <c r="L961" s="77"/>
      <c r="M961" s="77"/>
      <c r="N961" s="77"/>
      <c r="O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</row>
    <row r="962" customFormat="false" ht="15.75" hidden="false" customHeight="true" outlineLevel="0" collapsed="false">
      <c r="A962" s="77"/>
      <c r="B962" s="77"/>
      <c r="C962" s="77"/>
      <c r="D962" s="77"/>
      <c r="E962" s="77"/>
      <c r="F962" s="77"/>
      <c r="G962" s="77"/>
      <c r="H962" s="77"/>
      <c r="I962" s="77"/>
      <c r="J962" s="77"/>
      <c r="K962" s="77"/>
      <c r="L962" s="77"/>
      <c r="M962" s="77"/>
      <c r="N962" s="77"/>
      <c r="O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</row>
    <row r="963" customFormat="false" ht="15.75" hidden="false" customHeight="true" outlineLevel="0" collapsed="false">
      <c r="A963" s="77"/>
      <c r="B963" s="77"/>
      <c r="C963" s="77"/>
      <c r="D963" s="77"/>
      <c r="E963" s="77"/>
      <c r="F963" s="77"/>
      <c r="G963" s="77"/>
      <c r="H963" s="77"/>
      <c r="I963" s="77"/>
      <c r="J963" s="77"/>
      <c r="K963" s="77"/>
      <c r="L963" s="77"/>
      <c r="M963" s="77"/>
      <c r="N963" s="77"/>
      <c r="O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</row>
    <row r="964" customFormat="false" ht="15.75" hidden="false" customHeight="true" outlineLevel="0" collapsed="false">
      <c r="A964" s="77"/>
      <c r="B964" s="77"/>
      <c r="C964" s="77"/>
      <c r="D964" s="77"/>
      <c r="E964" s="77"/>
      <c r="F964" s="77"/>
      <c r="G964" s="77"/>
      <c r="H964" s="77"/>
      <c r="I964" s="77"/>
      <c r="J964" s="77"/>
      <c r="K964" s="77"/>
      <c r="L964" s="77"/>
      <c r="M964" s="77"/>
      <c r="N964" s="77"/>
      <c r="O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</row>
    <row r="965" customFormat="false" ht="15.75" hidden="false" customHeight="true" outlineLevel="0" collapsed="false">
      <c r="A965" s="77"/>
      <c r="B965" s="77"/>
      <c r="C965" s="77"/>
      <c r="D965" s="77"/>
      <c r="E965" s="77"/>
      <c r="F965" s="77"/>
      <c r="G965" s="77"/>
      <c r="H965" s="77"/>
      <c r="I965" s="77"/>
      <c r="J965" s="77"/>
      <c r="K965" s="77"/>
      <c r="L965" s="77"/>
      <c r="M965" s="77"/>
      <c r="N965" s="77"/>
      <c r="O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</row>
    <row r="966" customFormat="false" ht="15.75" hidden="false" customHeight="true" outlineLevel="0" collapsed="false">
      <c r="A966" s="77"/>
      <c r="B966" s="77"/>
      <c r="C966" s="77"/>
      <c r="D966" s="77"/>
      <c r="E966" s="77"/>
      <c r="F966" s="77"/>
      <c r="G966" s="77"/>
      <c r="H966" s="77"/>
      <c r="I966" s="77"/>
      <c r="J966" s="77"/>
      <c r="K966" s="77"/>
      <c r="L966" s="77"/>
      <c r="M966" s="77"/>
      <c r="N966" s="77"/>
      <c r="O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</row>
    <row r="967" customFormat="false" ht="15.75" hidden="false" customHeight="true" outlineLevel="0" collapsed="false">
      <c r="A967" s="77"/>
      <c r="B967" s="77"/>
      <c r="C967" s="77"/>
      <c r="D967" s="77"/>
      <c r="E967" s="77"/>
      <c r="F967" s="77"/>
      <c r="G967" s="77"/>
      <c r="H967" s="77"/>
      <c r="I967" s="77"/>
      <c r="J967" s="77"/>
      <c r="K967" s="77"/>
      <c r="L967" s="77"/>
      <c r="M967" s="77"/>
      <c r="N967" s="77"/>
      <c r="O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</row>
    <row r="968" customFormat="false" ht="15.75" hidden="false" customHeight="true" outlineLevel="0" collapsed="false">
      <c r="A968" s="77"/>
      <c r="B968" s="77"/>
      <c r="C968" s="77"/>
      <c r="D968" s="77"/>
      <c r="E968" s="77"/>
      <c r="F968" s="77"/>
      <c r="G968" s="77"/>
      <c r="H968" s="77"/>
      <c r="I968" s="77"/>
      <c r="J968" s="77"/>
      <c r="K968" s="77"/>
      <c r="L968" s="77"/>
      <c r="M968" s="77"/>
      <c r="N968" s="77"/>
      <c r="O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</row>
    <row r="969" customFormat="false" ht="15.75" hidden="false" customHeight="true" outlineLevel="0" collapsed="false">
      <c r="A969" s="77"/>
      <c r="B969" s="77"/>
      <c r="C969" s="77"/>
      <c r="D969" s="77"/>
      <c r="E969" s="77"/>
      <c r="F969" s="77"/>
      <c r="G969" s="77"/>
      <c r="H969" s="77"/>
      <c r="I969" s="77"/>
      <c r="J969" s="77"/>
      <c r="K969" s="77"/>
      <c r="L969" s="77"/>
      <c r="M969" s="77"/>
      <c r="N969" s="77"/>
      <c r="O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</row>
    <row r="970" customFormat="false" ht="15.75" hidden="false" customHeight="true" outlineLevel="0" collapsed="false">
      <c r="A970" s="77"/>
      <c r="B970" s="77"/>
      <c r="C970" s="77"/>
      <c r="D970" s="77"/>
      <c r="E970" s="77"/>
      <c r="F970" s="77"/>
      <c r="G970" s="77"/>
      <c r="H970" s="77"/>
      <c r="I970" s="77"/>
      <c r="J970" s="77"/>
      <c r="K970" s="77"/>
      <c r="L970" s="77"/>
      <c r="M970" s="77"/>
      <c r="N970" s="77"/>
      <c r="O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</row>
    <row r="971" customFormat="false" ht="15.75" hidden="false" customHeight="true" outlineLevel="0" collapsed="false">
      <c r="A971" s="77"/>
      <c r="B971" s="77"/>
      <c r="C971" s="77"/>
      <c r="D971" s="77"/>
      <c r="E971" s="77"/>
      <c r="F971" s="77"/>
      <c r="G971" s="77"/>
      <c r="H971" s="77"/>
      <c r="I971" s="77"/>
      <c r="J971" s="77"/>
      <c r="K971" s="77"/>
      <c r="L971" s="77"/>
      <c r="M971" s="77"/>
      <c r="N971" s="77"/>
      <c r="O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</row>
    <row r="972" customFormat="false" ht="15.75" hidden="false" customHeight="true" outlineLevel="0" collapsed="false">
      <c r="A972" s="77"/>
      <c r="B972" s="77"/>
      <c r="C972" s="77"/>
      <c r="D972" s="77"/>
      <c r="E972" s="77"/>
      <c r="F972" s="77"/>
      <c r="G972" s="77"/>
      <c r="H972" s="77"/>
      <c r="I972" s="77"/>
      <c r="J972" s="77"/>
      <c r="K972" s="77"/>
      <c r="L972" s="77"/>
      <c r="M972" s="77"/>
      <c r="N972" s="77"/>
      <c r="O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</row>
    <row r="973" customFormat="false" ht="15.75" hidden="false" customHeight="true" outlineLevel="0" collapsed="false">
      <c r="A973" s="77"/>
      <c r="B973" s="77"/>
      <c r="C973" s="77"/>
      <c r="D973" s="77"/>
      <c r="E973" s="77"/>
      <c r="F973" s="77"/>
      <c r="G973" s="77"/>
      <c r="H973" s="77"/>
      <c r="I973" s="77"/>
      <c r="J973" s="77"/>
      <c r="K973" s="77"/>
      <c r="L973" s="77"/>
      <c r="M973" s="77"/>
      <c r="N973" s="77"/>
      <c r="O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</row>
    <row r="974" customFormat="false" ht="15.75" hidden="false" customHeight="true" outlineLevel="0" collapsed="false">
      <c r="A974" s="77"/>
      <c r="B974" s="77"/>
      <c r="C974" s="77"/>
      <c r="D974" s="77"/>
      <c r="E974" s="77"/>
      <c r="F974" s="77"/>
      <c r="G974" s="77"/>
      <c r="H974" s="77"/>
      <c r="I974" s="77"/>
      <c r="J974" s="77"/>
      <c r="K974" s="77"/>
      <c r="L974" s="77"/>
      <c r="M974" s="77"/>
      <c r="N974" s="77"/>
      <c r="O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</row>
    <row r="975" customFormat="false" ht="15.75" hidden="false" customHeight="true" outlineLevel="0" collapsed="false">
      <c r="A975" s="77"/>
      <c r="B975" s="77"/>
      <c r="C975" s="77"/>
      <c r="D975" s="77"/>
      <c r="E975" s="77"/>
      <c r="F975" s="77"/>
      <c r="G975" s="77"/>
      <c r="H975" s="77"/>
      <c r="I975" s="77"/>
      <c r="J975" s="77"/>
      <c r="K975" s="77"/>
      <c r="L975" s="77"/>
      <c r="M975" s="77"/>
      <c r="N975" s="77"/>
      <c r="O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</row>
    <row r="976" customFormat="false" ht="15.75" hidden="false" customHeight="true" outlineLevel="0" collapsed="false">
      <c r="A976" s="77"/>
      <c r="B976" s="77"/>
      <c r="C976" s="77"/>
      <c r="D976" s="77"/>
      <c r="E976" s="77"/>
      <c r="F976" s="77"/>
      <c r="G976" s="77"/>
      <c r="H976" s="77"/>
      <c r="I976" s="77"/>
      <c r="J976" s="77"/>
      <c r="K976" s="77"/>
      <c r="L976" s="77"/>
      <c r="M976" s="77"/>
      <c r="N976" s="77"/>
      <c r="O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</row>
    <row r="977" customFormat="false" ht="15.75" hidden="false" customHeight="true" outlineLevel="0" collapsed="false">
      <c r="A977" s="77"/>
      <c r="B977" s="77"/>
      <c r="C977" s="77"/>
      <c r="D977" s="77"/>
      <c r="E977" s="77"/>
      <c r="F977" s="77"/>
      <c r="G977" s="77"/>
      <c r="H977" s="77"/>
      <c r="I977" s="77"/>
      <c r="J977" s="77"/>
      <c r="K977" s="77"/>
      <c r="L977" s="77"/>
      <c r="M977" s="77"/>
      <c r="N977" s="77"/>
      <c r="O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</row>
    <row r="978" customFormat="false" ht="15.75" hidden="false" customHeight="true" outlineLevel="0" collapsed="false">
      <c r="A978" s="77"/>
      <c r="B978" s="77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</row>
    <row r="979" customFormat="false" ht="15.75" hidden="false" customHeight="true" outlineLevel="0" collapsed="false">
      <c r="A979" s="77"/>
      <c r="B979" s="77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</row>
    <row r="980" customFormat="false" ht="15.75" hidden="false" customHeight="true" outlineLevel="0" collapsed="false">
      <c r="A980" s="77"/>
      <c r="B980" s="77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</row>
    <row r="981" customFormat="false" ht="15.75" hidden="false" customHeight="true" outlineLevel="0" collapsed="false">
      <c r="A981" s="77"/>
      <c r="B981" s="77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</row>
    <row r="982" customFormat="false" ht="15.75" hidden="false" customHeight="true" outlineLevel="0" collapsed="false">
      <c r="A982" s="77"/>
      <c r="B982" s="77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</row>
    <row r="983" customFormat="false" ht="15.75" hidden="false" customHeight="true" outlineLevel="0" collapsed="false">
      <c r="A983" s="77"/>
      <c r="B983" s="77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</row>
    <row r="984" customFormat="false" ht="15.75" hidden="false" customHeight="true" outlineLevel="0" collapsed="false">
      <c r="A984" s="77"/>
      <c r="B984" s="77"/>
      <c r="C984" s="77"/>
      <c r="D984" s="77"/>
      <c r="E984" s="77"/>
      <c r="F984" s="77"/>
      <c r="G984" s="77"/>
      <c r="H984" s="77"/>
      <c r="I984" s="77"/>
      <c r="J984" s="77"/>
      <c r="K984" s="77"/>
      <c r="L984" s="77"/>
      <c r="M984" s="77"/>
      <c r="N984" s="77"/>
      <c r="O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</row>
    <row r="985" customFormat="false" ht="15.75" hidden="false" customHeight="true" outlineLevel="0" collapsed="false">
      <c r="A985" s="77"/>
      <c r="B985" s="77"/>
      <c r="C985" s="77"/>
      <c r="D985" s="77"/>
      <c r="E985" s="77"/>
      <c r="F985" s="77"/>
      <c r="G985" s="77"/>
      <c r="H985" s="77"/>
      <c r="I985" s="77"/>
      <c r="J985" s="77"/>
      <c r="K985" s="77"/>
      <c r="L985" s="77"/>
      <c r="M985" s="77"/>
      <c r="N985" s="77"/>
      <c r="O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</row>
    <row r="986" customFormat="false" ht="15.75" hidden="false" customHeight="true" outlineLevel="0" collapsed="false">
      <c r="A986" s="77"/>
      <c r="B986" s="77"/>
      <c r="C986" s="77"/>
      <c r="D986" s="77"/>
      <c r="E986" s="77"/>
      <c r="F986" s="77"/>
      <c r="G986" s="77"/>
      <c r="H986" s="77"/>
      <c r="I986" s="77"/>
      <c r="J986" s="77"/>
      <c r="K986" s="77"/>
      <c r="L986" s="77"/>
      <c r="M986" s="77"/>
      <c r="N986" s="77"/>
      <c r="O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</row>
    <row r="987" customFormat="false" ht="15.75" hidden="false" customHeight="true" outlineLevel="0" collapsed="false">
      <c r="A987" s="77"/>
      <c r="B987" s="77"/>
      <c r="C987" s="77"/>
      <c r="D987" s="77"/>
      <c r="E987" s="77"/>
      <c r="F987" s="77"/>
      <c r="G987" s="77"/>
      <c r="H987" s="77"/>
      <c r="I987" s="77"/>
      <c r="J987" s="77"/>
      <c r="K987" s="77"/>
      <c r="L987" s="77"/>
      <c r="M987" s="77"/>
      <c r="N987" s="77"/>
      <c r="O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</row>
    <row r="988" customFormat="false" ht="15.75" hidden="false" customHeight="true" outlineLevel="0" collapsed="false">
      <c r="A988" s="77"/>
      <c r="B988" s="77"/>
      <c r="C988" s="77"/>
      <c r="D988" s="77"/>
      <c r="E988" s="77"/>
      <c r="F988" s="77"/>
      <c r="G988" s="77"/>
      <c r="H988" s="77"/>
      <c r="I988" s="77"/>
      <c r="J988" s="77"/>
      <c r="K988" s="77"/>
      <c r="L988" s="77"/>
      <c r="M988" s="77"/>
      <c r="N988" s="77"/>
      <c r="O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</row>
    <row r="989" customFormat="false" ht="15.75" hidden="false" customHeight="true" outlineLevel="0" collapsed="false">
      <c r="A989" s="77"/>
      <c r="B989" s="77"/>
      <c r="C989" s="77"/>
      <c r="D989" s="77"/>
      <c r="E989" s="77"/>
      <c r="F989" s="77"/>
      <c r="G989" s="77"/>
      <c r="H989" s="77"/>
      <c r="I989" s="77"/>
      <c r="J989" s="77"/>
      <c r="K989" s="77"/>
      <c r="L989" s="77"/>
      <c r="M989" s="77"/>
      <c r="N989" s="77"/>
      <c r="O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</row>
    <row r="990" customFormat="false" ht="15.75" hidden="false" customHeight="true" outlineLevel="0" collapsed="false">
      <c r="A990" s="77"/>
      <c r="B990" s="77"/>
      <c r="C990" s="77"/>
      <c r="D990" s="77"/>
      <c r="E990" s="77"/>
      <c r="F990" s="77"/>
      <c r="G990" s="77"/>
      <c r="H990" s="77"/>
      <c r="I990" s="77"/>
      <c r="J990" s="77"/>
      <c r="K990" s="77"/>
      <c r="L990" s="77"/>
      <c r="M990" s="77"/>
      <c r="N990" s="77"/>
      <c r="O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</row>
    <row r="991" customFormat="false" ht="15.75" hidden="false" customHeight="true" outlineLevel="0" collapsed="false">
      <c r="A991" s="77"/>
      <c r="B991" s="77"/>
      <c r="C991" s="77"/>
      <c r="D991" s="77"/>
      <c r="E991" s="77"/>
      <c r="F991" s="77"/>
      <c r="G991" s="77"/>
      <c r="H991" s="77"/>
      <c r="I991" s="77"/>
      <c r="J991" s="77"/>
      <c r="K991" s="77"/>
      <c r="L991" s="77"/>
      <c r="M991" s="77"/>
      <c r="N991" s="77"/>
      <c r="O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</row>
    <row r="992" customFormat="false" ht="15.75" hidden="false" customHeight="true" outlineLevel="0" collapsed="false">
      <c r="A992" s="77"/>
      <c r="B992" s="77"/>
      <c r="C992" s="77"/>
      <c r="D992" s="77"/>
      <c r="E992" s="77"/>
      <c r="F992" s="77"/>
      <c r="G992" s="77"/>
      <c r="H992" s="77"/>
      <c r="I992" s="77"/>
      <c r="J992" s="77"/>
      <c r="K992" s="77"/>
      <c r="L992" s="77"/>
      <c r="M992" s="77"/>
      <c r="N992" s="77"/>
      <c r="O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</row>
    <row r="993" customFormat="false" ht="15.75" hidden="false" customHeight="true" outlineLevel="0" collapsed="false">
      <c r="A993" s="77"/>
      <c r="B993" s="77"/>
      <c r="C993" s="77"/>
      <c r="D993" s="77"/>
      <c r="E993" s="77"/>
      <c r="F993" s="77"/>
      <c r="G993" s="77"/>
      <c r="H993" s="77"/>
      <c r="I993" s="77"/>
      <c r="J993" s="77"/>
      <c r="K993" s="77"/>
      <c r="L993" s="77"/>
      <c r="M993" s="77"/>
      <c r="N993" s="77"/>
      <c r="O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</row>
    <row r="994" customFormat="false" ht="15.75" hidden="false" customHeight="true" outlineLevel="0" collapsed="false">
      <c r="A994" s="77"/>
      <c r="B994" s="77"/>
      <c r="C994" s="77"/>
      <c r="D994" s="77"/>
      <c r="E994" s="77"/>
      <c r="F994" s="77"/>
      <c r="G994" s="77"/>
      <c r="H994" s="77"/>
      <c r="I994" s="77"/>
      <c r="J994" s="77"/>
      <c r="K994" s="77"/>
      <c r="L994" s="77"/>
      <c r="M994" s="77"/>
      <c r="N994" s="77"/>
      <c r="O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</row>
    <row r="995" customFormat="false" ht="15.75" hidden="false" customHeight="true" outlineLevel="0" collapsed="false">
      <c r="A995" s="77"/>
      <c r="B995" s="77"/>
      <c r="C995" s="77"/>
      <c r="D995" s="77"/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</row>
    <row r="996" customFormat="false" ht="15.75" hidden="false" customHeight="true" outlineLevel="0" collapsed="false">
      <c r="A996" s="77"/>
      <c r="B996" s="77"/>
      <c r="C996" s="77"/>
      <c r="D996" s="77"/>
      <c r="E996" s="77"/>
      <c r="F996" s="77"/>
      <c r="G996" s="77"/>
      <c r="H996" s="77"/>
      <c r="I996" s="77"/>
      <c r="J996" s="77"/>
      <c r="K996" s="77"/>
      <c r="L996" s="77"/>
      <c r="M996" s="77"/>
      <c r="N996" s="77"/>
      <c r="O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</row>
    <row r="997" customFormat="false" ht="15.75" hidden="false" customHeight="true" outlineLevel="0" collapsed="false">
      <c r="A997" s="77"/>
      <c r="B997" s="77"/>
      <c r="C997" s="77"/>
      <c r="D997" s="77"/>
      <c r="E997" s="77"/>
      <c r="F997" s="77"/>
      <c r="G997" s="77"/>
      <c r="H997" s="77"/>
      <c r="I997" s="77"/>
      <c r="J997" s="77"/>
      <c r="K997" s="77"/>
      <c r="L997" s="77"/>
      <c r="M997" s="77"/>
      <c r="N997" s="77"/>
      <c r="O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</row>
    <row r="998" customFormat="false" ht="15.75" hidden="false" customHeight="true" outlineLevel="0" collapsed="false">
      <c r="A998" s="77"/>
      <c r="B998" s="77"/>
      <c r="C998" s="77"/>
      <c r="D998" s="77"/>
      <c r="E998" s="77"/>
      <c r="F998" s="77"/>
      <c r="G998" s="77"/>
      <c r="H998" s="77"/>
      <c r="I998" s="77"/>
      <c r="J998" s="77"/>
      <c r="K998" s="77"/>
      <c r="L998" s="77"/>
      <c r="M998" s="77"/>
      <c r="N998" s="77"/>
      <c r="O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</row>
    <row r="999" customFormat="false" ht="15.75" hidden="false" customHeight="true" outlineLevel="0" collapsed="false">
      <c r="A999" s="77"/>
      <c r="B999" s="77"/>
      <c r="C999" s="77"/>
      <c r="D999" s="77"/>
      <c r="E999" s="77"/>
      <c r="F999" s="77"/>
      <c r="G999" s="77"/>
      <c r="H999" s="77"/>
      <c r="I999" s="77"/>
      <c r="J999" s="77"/>
      <c r="K999" s="77"/>
      <c r="L999" s="77"/>
      <c r="M999" s="77"/>
      <c r="N999" s="77"/>
      <c r="O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</row>
    <row r="1000" customFormat="false" ht="15.75" hidden="false" customHeight="true" outlineLevel="0" collapsed="false">
      <c r="A1000" s="77"/>
      <c r="B1000" s="77"/>
      <c r="C1000" s="77"/>
      <c r="D1000" s="77"/>
      <c r="E1000" s="77"/>
      <c r="F1000" s="77"/>
      <c r="G1000" s="77"/>
      <c r="H1000" s="77"/>
      <c r="I1000" s="77"/>
      <c r="J1000" s="77"/>
      <c r="K1000" s="77"/>
      <c r="L1000" s="77"/>
      <c r="M1000" s="77"/>
      <c r="N1000" s="77"/>
      <c r="O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</row>
  </sheetData>
  <mergeCells count="10">
    <mergeCell ref="A1:I1"/>
    <mergeCell ref="A3:D3"/>
    <mergeCell ref="E3:F3"/>
    <mergeCell ref="A4:D15"/>
    <mergeCell ref="A18:D18"/>
    <mergeCell ref="A19:D31"/>
    <mergeCell ref="A34:D34"/>
    <mergeCell ref="A35:D47"/>
    <mergeCell ref="A50:D50"/>
    <mergeCell ref="A51:D6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8.29"/>
    <col collapsed="false" customWidth="true" hidden="false" outlineLevel="0" max="2" min="2" style="1" width="4.29"/>
    <col collapsed="false" customWidth="true" hidden="false" outlineLevel="0" max="3" min="3" style="1" width="37.71"/>
    <col collapsed="false" customWidth="true" hidden="false" outlineLevel="0" max="5" min="4" style="1" width="14.14"/>
    <col collapsed="false" customWidth="true" hidden="false" outlineLevel="0" max="6" min="6" style="1" width="49.43"/>
    <col collapsed="false" customWidth="true" hidden="false" outlineLevel="0" max="7" min="7" style="1" width="5"/>
    <col collapsed="false" customWidth="true" hidden="false" outlineLevel="0" max="8" min="8" style="1" width="9.14"/>
    <col collapsed="false" customWidth="true" hidden="false" outlineLevel="0" max="9" min="9" style="1" width="13.15"/>
    <col collapsed="false" customWidth="true" hidden="false" outlineLevel="0" max="11" min="10" style="1" width="9.14"/>
    <col collapsed="false" customWidth="true" hidden="false" outlineLevel="0" max="26" min="12" style="1" width="8.71"/>
  </cols>
  <sheetData>
    <row r="1" customFormat="false" ht="15" hidden="false" customHeight="false" outlineLevel="0" collapsed="false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customFormat="false" ht="15" hidden="false" customHeight="false" outlineLevel="0" collapsed="false">
      <c r="A2" s="30"/>
      <c r="B2" s="86"/>
      <c r="C2" s="86"/>
      <c r="D2" s="86"/>
      <c r="E2" s="86"/>
      <c r="F2" s="86"/>
      <c r="G2" s="86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customFormat="false" ht="22.05" hidden="false" customHeight="false" outlineLevel="0" collapsed="false">
      <c r="A3" s="30"/>
      <c r="B3" s="86"/>
      <c r="C3" s="87" t="s">
        <v>143</v>
      </c>
      <c r="D3" s="54" t="s">
        <v>144</v>
      </c>
      <c r="E3" s="54"/>
      <c r="F3" s="54"/>
      <c r="G3" s="86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customFormat="false" ht="9.75" hidden="false" customHeight="true" outlineLevel="0" collapsed="false">
      <c r="A4" s="30"/>
      <c r="B4" s="86"/>
      <c r="C4" s="88"/>
      <c r="D4" s="89"/>
      <c r="E4" s="90"/>
      <c r="F4" s="91"/>
      <c r="G4" s="86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customFormat="false" ht="17.35" hidden="false" customHeight="false" outlineLevel="0" collapsed="false">
      <c r="A5" s="30"/>
      <c r="B5" s="86"/>
      <c r="C5" s="92" t="s">
        <v>145</v>
      </c>
      <c r="D5" s="43"/>
      <c r="E5" s="43"/>
      <c r="F5" s="43"/>
      <c r="G5" s="86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customFormat="false" ht="17.35" hidden="false" customHeight="false" outlineLevel="0" collapsed="false">
      <c r="A6" s="30"/>
      <c r="B6" s="86"/>
      <c r="C6" s="92" t="s">
        <v>146</v>
      </c>
      <c r="D6" s="43"/>
      <c r="E6" s="43"/>
      <c r="F6" s="43"/>
      <c r="G6" s="86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</row>
    <row r="7" customFormat="false" ht="17.35" hidden="false" customHeight="false" outlineLevel="0" collapsed="false">
      <c r="A7" s="30"/>
      <c r="B7" s="86"/>
      <c r="C7" s="92" t="s">
        <v>15</v>
      </c>
      <c r="D7" s="43"/>
      <c r="E7" s="43"/>
      <c r="F7" s="43"/>
      <c r="G7" s="86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</row>
    <row r="8" customFormat="false" ht="17.35" hidden="false" customHeight="false" outlineLevel="0" collapsed="false">
      <c r="A8" s="30"/>
      <c r="B8" s="86"/>
      <c r="C8" s="92" t="s">
        <v>147</v>
      </c>
      <c r="D8" s="43"/>
      <c r="E8" s="43"/>
      <c r="F8" s="43"/>
      <c r="G8" s="86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 customFormat="false" ht="17.35" hidden="false" customHeight="false" outlineLevel="0" collapsed="false">
      <c r="A9" s="30"/>
      <c r="B9" s="86"/>
      <c r="C9" s="92" t="s">
        <v>17</v>
      </c>
      <c r="D9" s="93"/>
      <c r="E9" s="93"/>
      <c r="F9" s="93"/>
      <c r="G9" s="86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 customFormat="false" ht="15" hidden="false" customHeight="false" outlineLevel="0" collapsed="false">
      <c r="A10" s="30"/>
      <c r="B10" s="86"/>
      <c r="C10" s="86"/>
      <c r="D10" s="86"/>
      <c r="E10" s="86"/>
      <c r="F10" s="86"/>
      <c r="G10" s="86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 customFormat="false" ht="17.35" hidden="false" customHeight="false" outlineLevel="0" collapsed="false">
      <c r="A11" s="30"/>
      <c r="B11" s="86"/>
      <c r="C11" s="94" t="s">
        <v>148</v>
      </c>
      <c r="D11" s="95" t="s">
        <v>149</v>
      </c>
      <c r="E11" s="96"/>
      <c r="F11" s="97" t="s">
        <v>150</v>
      </c>
      <c r="G11" s="86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customFormat="false" ht="60.75" hidden="false" customHeight="true" outlineLevel="0" collapsed="false">
      <c r="A12" s="30"/>
      <c r="B12" s="86"/>
      <c r="C12" s="98"/>
      <c r="D12" s="98"/>
      <c r="E12" s="98"/>
      <c r="F12" s="98"/>
      <c r="G12" s="86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 customFormat="false" ht="60.75" hidden="false" customHeight="true" outlineLevel="0" collapsed="false">
      <c r="A13" s="30"/>
      <c r="B13" s="86"/>
      <c r="C13" s="94" t="s">
        <v>11</v>
      </c>
      <c r="D13" s="99"/>
      <c r="E13" s="99"/>
      <c r="F13" s="99"/>
      <c r="G13" s="86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 customFormat="false" ht="60.75" hidden="false" customHeight="true" outlineLevel="0" collapsed="false">
      <c r="A14" s="30"/>
      <c r="B14" s="86"/>
      <c r="C14" s="94" t="s">
        <v>151</v>
      </c>
      <c r="D14" s="94"/>
      <c r="E14" s="100"/>
      <c r="F14" s="101" t="str">
        <f aca="false">IF(AND(C12&lt;&gt;"",D12&lt;&gt;"",F12&lt;&gt;""),CONCATENATE("Exp ",D5," - ","Sec ",D7," -",C12," - ",D12),"Fill student information above")</f>
        <v>Fill student information above</v>
      </c>
      <c r="G14" s="86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customFormat="false" ht="60.75" hidden="false" customHeight="true" outlineLevel="0" collapsed="false">
      <c r="A15" s="30"/>
      <c r="B15" s="86"/>
      <c r="C15" s="102" t="s">
        <v>152</v>
      </c>
      <c r="D15" s="102"/>
      <c r="E15" s="103"/>
      <c r="F15" s="101" t="str">
        <f aca="false">IF(AND(C12&lt;&gt;"",D12&lt;&gt;"",F12&lt;&gt;""),CONCATENATE("Grade of Exp ",D5," - ","Physics Lab "),"Fill Experiment information above")</f>
        <v>Fill Experiment information above</v>
      </c>
      <c r="G15" s="86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customFormat="false" ht="13.5" hidden="false" customHeight="true" outlineLevel="0" collapsed="false">
      <c r="A16" s="30"/>
      <c r="B16" s="86"/>
      <c r="C16" s="104"/>
      <c r="D16" s="105"/>
      <c r="E16" s="106"/>
      <c r="F16" s="107"/>
      <c r="G16" s="86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customFormat="false" ht="17.35" hidden="false" customHeight="false" outlineLevel="0" collapsed="false">
      <c r="A17" s="30"/>
      <c r="B17" s="86"/>
      <c r="C17" s="108" t="s">
        <v>153</v>
      </c>
      <c r="D17" s="108"/>
      <c r="E17" s="108"/>
      <c r="F17" s="108"/>
      <c r="G17" s="86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customFormat="false" ht="17.35" hidden="false" customHeight="false" outlineLevel="0" collapsed="false">
      <c r="A18" s="30"/>
      <c r="B18" s="86"/>
      <c r="C18" s="109"/>
      <c r="D18" s="110" t="s">
        <v>154</v>
      </c>
      <c r="E18" s="110"/>
      <c r="F18" s="111" t="s">
        <v>155</v>
      </c>
      <c r="G18" s="86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customFormat="false" ht="25.35" hidden="false" customHeight="false" outlineLevel="0" collapsed="false">
      <c r="A19" s="30"/>
      <c r="B19" s="86"/>
      <c r="C19" s="112"/>
      <c r="D19" s="113" t="s">
        <v>156</v>
      </c>
      <c r="E19" s="113" t="s">
        <v>157</v>
      </c>
      <c r="F19" s="111"/>
      <c r="G19" s="86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customFormat="false" ht="17.35" hidden="false" customHeight="false" outlineLevel="0" collapsed="false">
      <c r="A20" s="30"/>
      <c r="B20" s="86"/>
      <c r="C20" s="114" t="s">
        <v>158</v>
      </c>
      <c r="D20" s="115"/>
      <c r="E20" s="116"/>
      <c r="F20" s="117"/>
      <c r="G20" s="86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customFormat="false" ht="15.75" hidden="false" customHeight="true" outlineLevel="0" collapsed="false">
      <c r="A21" s="30"/>
      <c r="B21" s="86"/>
      <c r="C21" s="118" t="s">
        <v>159</v>
      </c>
      <c r="D21" s="118"/>
      <c r="E21" s="118"/>
      <c r="F21" s="118"/>
      <c r="G21" s="86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customFormat="false" ht="15.75" hidden="false" customHeight="true" outlineLevel="0" collapsed="false">
      <c r="A22" s="30"/>
      <c r="B22" s="86"/>
      <c r="C22" s="119" t="s">
        <v>160</v>
      </c>
      <c r="D22" s="120"/>
      <c r="E22" s="121"/>
      <c r="F22" s="122"/>
      <c r="G22" s="86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 customFormat="false" ht="18.75" hidden="false" customHeight="true" outlineLevel="0" collapsed="false">
      <c r="A23" s="30"/>
      <c r="B23" s="86"/>
      <c r="C23" s="118" t="s">
        <v>161</v>
      </c>
      <c r="D23" s="118"/>
      <c r="E23" s="118"/>
      <c r="F23" s="118"/>
      <c r="G23" s="86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 customFormat="false" ht="15.75" hidden="false" customHeight="true" outlineLevel="0" collapsed="false">
      <c r="A24" s="30"/>
      <c r="B24" s="86"/>
      <c r="C24" s="123" t="s">
        <v>162</v>
      </c>
      <c r="D24" s="120"/>
      <c r="E24" s="121"/>
      <c r="F24" s="122"/>
      <c r="G24" s="86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 customFormat="false" ht="18.75" hidden="false" customHeight="true" outlineLevel="0" collapsed="false">
      <c r="A25" s="30"/>
      <c r="B25" s="86"/>
      <c r="C25" s="118" t="s">
        <v>163</v>
      </c>
      <c r="D25" s="118"/>
      <c r="E25" s="118"/>
      <c r="F25" s="118"/>
      <c r="G25" s="86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customFormat="false" ht="15.75" hidden="false" customHeight="true" outlineLevel="0" collapsed="false">
      <c r="A26" s="30"/>
      <c r="B26" s="86"/>
      <c r="C26" s="123" t="s">
        <v>164</v>
      </c>
      <c r="D26" s="120"/>
      <c r="E26" s="121"/>
      <c r="F26" s="122"/>
      <c r="G26" s="86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customFormat="false" ht="15.75" hidden="false" customHeight="true" outlineLevel="0" collapsed="false">
      <c r="A27" s="30"/>
      <c r="B27" s="86"/>
      <c r="C27" s="118" t="s">
        <v>165</v>
      </c>
      <c r="D27" s="118"/>
      <c r="E27" s="118"/>
      <c r="F27" s="118"/>
      <c r="G27" s="86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  <row r="28" customFormat="false" ht="15.75" hidden="false" customHeight="true" outlineLevel="0" collapsed="false">
      <c r="A28" s="30"/>
      <c r="B28" s="86"/>
      <c r="C28" s="124" t="s">
        <v>166</v>
      </c>
      <c r="D28" s="125" t="n">
        <f aca="false">((D20+E20)+(D22+E22)+(D24+E24)+(D26+E26))/2</f>
        <v>0</v>
      </c>
      <c r="E28" s="126"/>
      <c r="F28" s="127"/>
      <c r="G28" s="86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 customFormat="false" ht="15.75" hidden="false" customHeight="true" outlineLevel="0" collapsed="false">
      <c r="A29" s="30"/>
      <c r="B29" s="86"/>
      <c r="C29" s="128" t="s">
        <v>167</v>
      </c>
      <c r="D29" s="129"/>
      <c r="E29" s="130"/>
      <c r="F29" s="131"/>
      <c r="G29" s="86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 customFormat="false" ht="15.75" hidden="false" customHeight="true" outlineLevel="0" collapsed="false">
      <c r="A30" s="30"/>
      <c r="B30" s="86"/>
      <c r="C30" s="118" t="s">
        <v>168</v>
      </c>
      <c r="D30" s="118"/>
      <c r="E30" s="118"/>
      <c r="F30" s="118"/>
      <c r="G30" s="86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 customFormat="false" ht="15.75" hidden="false" customHeight="true" outlineLevel="0" collapsed="false">
      <c r="A31" s="30"/>
      <c r="B31" s="86"/>
      <c r="C31" s="132" t="s">
        <v>169</v>
      </c>
      <c r="D31" s="133"/>
      <c r="E31" s="134"/>
      <c r="F31" s="135"/>
      <c r="G31" s="86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customFormat="false" ht="15.75" hidden="false" customHeight="true" outlineLevel="0" collapsed="false">
      <c r="A32" s="30"/>
      <c r="B32" s="86"/>
      <c r="C32" s="118" t="s">
        <v>170</v>
      </c>
      <c r="D32" s="118"/>
      <c r="E32" s="118"/>
      <c r="F32" s="118"/>
      <c r="G32" s="86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 customFormat="false" ht="15.75" hidden="false" customHeight="true" outlineLevel="0" collapsed="false">
      <c r="A33" s="30"/>
      <c r="B33" s="86"/>
      <c r="C33" s="136" t="s">
        <v>171</v>
      </c>
      <c r="D33" s="137" t="n">
        <f aca="false">(((D29+E29)+(D31+E31))/2)/2</f>
        <v>0</v>
      </c>
      <c r="E33" s="138"/>
      <c r="F33" s="139"/>
      <c r="G33" s="86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customFormat="false" ht="15.75" hidden="false" customHeight="true" outlineLevel="0" collapsed="false">
      <c r="A34" s="30"/>
      <c r="B34" s="86"/>
      <c r="C34" s="132" t="s">
        <v>172</v>
      </c>
      <c r="D34" s="140"/>
      <c r="E34" s="141"/>
      <c r="F34" s="142"/>
      <c r="G34" s="86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customFormat="false" ht="15.75" hidden="false" customHeight="true" outlineLevel="0" collapsed="false">
      <c r="A35" s="30"/>
      <c r="B35" s="86"/>
      <c r="C35" s="118" t="s">
        <v>173</v>
      </c>
      <c r="D35" s="118"/>
      <c r="E35" s="118"/>
      <c r="F35" s="118"/>
      <c r="G35" s="86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 customFormat="false" ht="15.75" hidden="false" customHeight="true" outlineLevel="0" collapsed="false">
      <c r="A36" s="30"/>
      <c r="B36" s="86"/>
      <c r="C36" s="132" t="s">
        <v>174</v>
      </c>
      <c r="D36" s="133"/>
      <c r="E36" s="134"/>
      <c r="F36" s="135"/>
      <c r="G36" s="86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 customFormat="false" ht="15.75" hidden="false" customHeight="true" outlineLevel="0" collapsed="false">
      <c r="A37" s="30"/>
      <c r="B37" s="86"/>
      <c r="C37" s="118" t="s">
        <v>175</v>
      </c>
      <c r="D37" s="118"/>
      <c r="E37" s="118"/>
      <c r="F37" s="118"/>
      <c r="G37" s="86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 customFormat="false" ht="15.75" hidden="false" customHeight="true" outlineLevel="0" collapsed="false">
      <c r="A38" s="30"/>
      <c r="B38" s="86"/>
      <c r="C38" s="132" t="s">
        <v>176</v>
      </c>
      <c r="D38" s="133"/>
      <c r="E38" s="134"/>
      <c r="F38" s="143"/>
      <c r="G38" s="86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 customFormat="false" ht="15.75" hidden="false" customHeight="true" outlineLevel="0" collapsed="false">
      <c r="A39" s="30"/>
      <c r="B39" s="86"/>
      <c r="C39" s="118" t="s">
        <v>177</v>
      </c>
      <c r="D39" s="118"/>
      <c r="E39" s="118"/>
      <c r="F39" s="118"/>
      <c r="G39" s="86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 customFormat="false" ht="15.75" hidden="false" customHeight="true" outlineLevel="0" collapsed="false">
      <c r="A40" s="30"/>
      <c r="B40" s="86"/>
      <c r="C40" s="132" t="s">
        <v>178</v>
      </c>
      <c r="D40" s="133"/>
      <c r="E40" s="134"/>
      <c r="F40" s="143"/>
      <c r="G40" s="86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 customFormat="false" ht="15.75" hidden="false" customHeight="true" outlineLevel="0" collapsed="false">
      <c r="A41" s="30"/>
      <c r="B41" s="86"/>
      <c r="C41" s="118" t="s">
        <v>179</v>
      </c>
      <c r="D41" s="118"/>
      <c r="E41" s="118"/>
      <c r="F41" s="118"/>
      <c r="G41" s="86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 customFormat="false" ht="15.75" hidden="false" customHeight="true" outlineLevel="0" collapsed="false">
      <c r="A42" s="30"/>
      <c r="B42" s="86"/>
      <c r="C42" s="136" t="s">
        <v>180</v>
      </c>
      <c r="D42" s="137" t="n">
        <f aca="false">(((D40+E40)+(D38+E38)+(D36+E36)+(D34+E34))/2)/4</f>
        <v>0</v>
      </c>
      <c r="E42" s="144"/>
      <c r="F42" s="139"/>
      <c r="G42" s="86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 customFormat="false" ht="15.75" hidden="false" customHeight="true" outlineLevel="0" collapsed="false">
      <c r="A43" s="30"/>
      <c r="B43" s="86"/>
      <c r="C43" s="132" t="s">
        <v>181</v>
      </c>
      <c r="D43" s="133"/>
      <c r="E43" s="134"/>
      <c r="F43" s="143"/>
      <c r="G43" s="86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 customFormat="false" ht="15.75" hidden="false" customHeight="true" outlineLevel="0" collapsed="false">
      <c r="A44" s="30"/>
      <c r="B44" s="86"/>
      <c r="C44" s="118" t="s">
        <v>182</v>
      </c>
      <c r="D44" s="118"/>
      <c r="E44" s="118"/>
      <c r="F44" s="118"/>
      <c r="G44" s="86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 customFormat="false" ht="15.75" hidden="false" customHeight="true" outlineLevel="0" collapsed="false">
      <c r="A45" s="30"/>
      <c r="B45" s="86"/>
      <c r="C45" s="132" t="s">
        <v>183</v>
      </c>
      <c r="D45" s="133"/>
      <c r="E45" s="134"/>
      <c r="F45" s="143"/>
      <c r="G45" s="86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 customFormat="false" ht="15.75" hidden="false" customHeight="true" outlineLevel="0" collapsed="false">
      <c r="A46" s="30"/>
      <c r="B46" s="86"/>
      <c r="C46" s="118" t="s">
        <v>184</v>
      </c>
      <c r="D46" s="118"/>
      <c r="E46" s="118"/>
      <c r="F46" s="118"/>
      <c r="G46" s="86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 customFormat="false" ht="15.75" hidden="false" customHeight="true" outlineLevel="0" collapsed="false">
      <c r="A47" s="30"/>
      <c r="B47" s="86"/>
      <c r="C47" s="132" t="s">
        <v>185</v>
      </c>
      <c r="D47" s="133"/>
      <c r="E47" s="134"/>
      <c r="F47" s="143"/>
      <c r="G47" s="86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 customFormat="false" ht="15.75" hidden="false" customHeight="true" outlineLevel="0" collapsed="false">
      <c r="A48" s="30"/>
      <c r="B48" s="86"/>
      <c r="C48" s="118" t="s">
        <v>184</v>
      </c>
      <c r="D48" s="118"/>
      <c r="E48" s="118"/>
      <c r="F48" s="118"/>
      <c r="G48" s="86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 customFormat="false" ht="15.75" hidden="false" customHeight="true" outlineLevel="0" collapsed="false">
      <c r="A49" s="30"/>
      <c r="B49" s="86"/>
      <c r="C49" s="132" t="s">
        <v>186</v>
      </c>
      <c r="D49" s="133"/>
      <c r="E49" s="134"/>
      <c r="F49" s="143"/>
      <c r="G49" s="86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 customFormat="false" ht="15.75" hidden="false" customHeight="true" outlineLevel="0" collapsed="false">
      <c r="A50" s="30"/>
      <c r="B50" s="86"/>
      <c r="C50" s="118" t="s">
        <v>187</v>
      </c>
      <c r="D50" s="118"/>
      <c r="E50" s="118"/>
      <c r="F50" s="118"/>
      <c r="G50" s="86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 customFormat="false" ht="15.75" hidden="false" customHeight="true" outlineLevel="0" collapsed="false">
      <c r="A51" s="30"/>
      <c r="B51" s="86"/>
      <c r="C51" s="132" t="s">
        <v>169</v>
      </c>
      <c r="D51" s="133"/>
      <c r="E51" s="134"/>
      <c r="F51" s="135"/>
      <c r="G51" s="86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 customFormat="false" ht="15.75" hidden="false" customHeight="true" outlineLevel="0" collapsed="false">
      <c r="A52" s="30"/>
      <c r="B52" s="86"/>
      <c r="C52" s="118" t="s">
        <v>170</v>
      </c>
      <c r="D52" s="118"/>
      <c r="E52" s="118"/>
      <c r="F52" s="118"/>
      <c r="G52" s="86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 customFormat="false" ht="28.5" hidden="false" customHeight="true" outlineLevel="0" collapsed="false">
      <c r="A53" s="30"/>
      <c r="B53" s="86"/>
      <c r="C53" s="136" t="s">
        <v>93</v>
      </c>
      <c r="D53" s="137" t="n">
        <f aca="false">(((D43+E43)+(D45+E45)+(D47+E47)+(E49+D49)+(D51+E51))/2)/5</f>
        <v>0</v>
      </c>
      <c r="E53" s="144"/>
      <c r="F53" s="139"/>
      <c r="G53" s="86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 customFormat="false" ht="28.5" hidden="false" customHeight="true" outlineLevel="0" collapsed="false">
      <c r="A54" s="30"/>
      <c r="B54" s="86"/>
      <c r="C54" s="132" t="s">
        <v>188</v>
      </c>
      <c r="D54" s="133"/>
      <c r="E54" s="134"/>
      <c r="F54" s="143"/>
      <c r="G54" s="86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 customFormat="false" ht="28.5" hidden="false" customHeight="true" outlineLevel="0" collapsed="false">
      <c r="A55" s="30"/>
      <c r="B55" s="86"/>
      <c r="C55" s="118" t="s">
        <v>189</v>
      </c>
      <c r="D55" s="118"/>
      <c r="E55" s="118"/>
      <c r="F55" s="118"/>
      <c r="G55" s="86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 customFormat="false" ht="28.5" hidden="false" customHeight="true" outlineLevel="0" collapsed="false">
      <c r="A56" s="30"/>
      <c r="B56" s="86"/>
      <c r="C56" s="132" t="s">
        <v>190</v>
      </c>
      <c r="D56" s="133"/>
      <c r="E56" s="134"/>
      <c r="F56" s="135"/>
      <c r="G56" s="86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 customFormat="false" ht="28.5" hidden="false" customHeight="true" outlineLevel="0" collapsed="false">
      <c r="A57" s="30"/>
      <c r="B57" s="86"/>
      <c r="C57" s="118" t="s">
        <v>191</v>
      </c>
      <c r="D57" s="118"/>
      <c r="E57" s="118"/>
      <c r="F57" s="118"/>
      <c r="G57" s="86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 customFormat="false" ht="28.5" hidden="false" customHeight="true" outlineLevel="0" collapsed="false">
      <c r="A58" s="30"/>
      <c r="B58" s="86"/>
      <c r="C58" s="132" t="s">
        <v>169</v>
      </c>
      <c r="D58" s="133"/>
      <c r="E58" s="134"/>
      <c r="F58" s="135"/>
      <c r="G58" s="86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 customFormat="false" ht="28.5" hidden="false" customHeight="true" outlineLevel="0" collapsed="false">
      <c r="A59" s="30"/>
      <c r="B59" s="86"/>
      <c r="C59" s="118" t="s">
        <v>170</v>
      </c>
      <c r="D59" s="118"/>
      <c r="E59" s="118"/>
      <c r="F59" s="118"/>
      <c r="G59" s="86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 customFormat="false" ht="15.75" hidden="false" customHeight="true" outlineLevel="0" collapsed="false">
      <c r="A60" s="30"/>
      <c r="B60" s="86"/>
      <c r="C60" s="136" t="s">
        <v>192</v>
      </c>
      <c r="D60" s="137" t="n">
        <f aca="false">(((D54+E54)+(D56+E56)+(D58+E58))/2)/3</f>
        <v>0</v>
      </c>
      <c r="E60" s="144"/>
      <c r="F60" s="139"/>
      <c r="G60" s="86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</row>
    <row r="61" customFormat="false" ht="15.75" hidden="false" customHeight="true" outlineLevel="0" collapsed="false">
      <c r="A61" s="30"/>
      <c r="B61" s="86"/>
      <c r="C61" s="145" t="s">
        <v>193</v>
      </c>
      <c r="D61" s="146" t="n">
        <f aca="false">D33+D42+D53+D60</f>
        <v>0</v>
      </c>
      <c r="E61" s="147"/>
      <c r="F61" s="148"/>
      <c r="G61" s="86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</row>
    <row r="62" customFormat="false" ht="15.75" hidden="false" customHeight="true" outlineLevel="0" collapsed="false">
      <c r="A62" s="30"/>
      <c r="B62" s="86"/>
      <c r="C62" s="149" t="s">
        <v>194</v>
      </c>
      <c r="D62" s="150" t="n">
        <f aca="false">D61+D28</f>
        <v>0</v>
      </c>
      <c r="E62" s="151"/>
      <c r="F62" s="152"/>
      <c r="G62" s="86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</row>
    <row r="63" customFormat="false" ht="15.75" hidden="false" customHeight="true" outlineLevel="0" collapsed="false">
      <c r="A63" s="30"/>
      <c r="B63" s="86"/>
      <c r="C63" s="153" t="s">
        <v>195</v>
      </c>
      <c r="D63" s="153"/>
      <c r="E63" s="153"/>
      <c r="F63" s="153"/>
      <c r="G63" s="86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</row>
    <row r="64" customFormat="false" ht="15.75" hidden="false" customHeight="true" outlineLevel="0" collapsed="false">
      <c r="A64" s="30"/>
      <c r="B64" s="86"/>
      <c r="C64" s="109"/>
      <c r="D64" s="110" t="s">
        <v>154</v>
      </c>
      <c r="E64" s="110"/>
      <c r="F64" s="111" t="s">
        <v>155</v>
      </c>
      <c r="G64" s="86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</row>
    <row r="65" customFormat="false" ht="15.75" hidden="false" customHeight="true" outlineLevel="0" collapsed="false">
      <c r="A65" s="30"/>
      <c r="B65" s="86"/>
      <c r="C65" s="112"/>
      <c r="D65" s="113" t="s">
        <v>156</v>
      </c>
      <c r="E65" s="113" t="s">
        <v>157</v>
      </c>
      <c r="F65" s="111"/>
      <c r="G65" s="86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</row>
    <row r="66" customFormat="false" ht="18.75" hidden="false" customHeight="true" outlineLevel="0" collapsed="false">
      <c r="A66" s="30"/>
      <c r="B66" s="86"/>
      <c r="C66" s="114" t="s">
        <v>158</v>
      </c>
      <c r="D66" s="115"/>
      <c r="E66" s="116"/>
      <c r="F66" s="117"/>
      <c r="G66" s="86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</row>
    <row r="67" customFormat="false" ht="15.75" hidden="false" customHeight="true" outlineLevel="0" collapsed="false">
      <c r="A67" s="30"/>
      <c r="B67" s="86"/>
      <c r="C67" s="118" t="s">
        <v>159</v>
      </c>
      <c r="D67" s="118"/>
      <c r="E67" s="118"/>
      <c r="F67" s="118"/>
      <c r="G67" s="86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</row>
    <row r="68" customFormat="false" ht="15" hidden="false" customHeight="true" outlineLevel="0" collapsed="false">
      <c r="A68" s="30"/>
      <c r="B68" s="86"/>
      <c r="C68" s="119" t="s">
        <v>160</v>
      </c>
      <c r="D68" s="120"/>
      <c r="E68" s="121"/>
      <c r="F68" s="122"/>
      <c r="G68" s="86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</row>
    <row r="69" customFormat="false" ht="15.75" hidden="false" customHeight="true" outlineLevel="0" collapsed="false">
      <c r="A69" s="30"/>
      <c r="B69" s="86"/>
      <c r="C69" s="118" t="s">
        <v>161</v>
      </c>
      <c r="D69" s="118"/>
      <c r="E69" s="118"/>
      <c r="F69" s="118"/>
      <c r="G69" s="86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</row>
    <row r="70" customFormat="false" ht="15" hidden="false" customHeight="true" outlineLevel="0" collapsed="false">
      <c r="A70" s="30"/>
      <c r="B70" s="86"/>
      <c r="C70" s="123" t="s">
        <v>162</v>
      </c>
      <c r="D70" s="120"/>
      <c r="E70" s="121"/>
      <c r="F70" s="122"/>
      <c r="G70" s="86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</row>
    <row r="71" customFormat="false" ht="15.75" hidden="false" customHeight="true" outlineLevel="0" collapsed="false">
      <c r="A71" s="30"/>
      <c r="B71" s="86"/>
      <c r="C71" s="118" t="s">
        <v>163</v>
      </c>
      <c r="D71" s="118"/>
      <c r="E71" s="118"/>
      <c r="F71" s="118"/>
      <c r="G71" s="86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</row>
    <row r="72" customFormat="false" ht="18.75" hidden="false" customHeight="true" outlineLevel="0" collapsed="false">
      <c r="A72" s="30"/>
      <c r="B72" s="86"/>
      <c r="C72" s="123" t="s">
        <v>164</v>
      </c>
      <c r="D72" s="120"/>
      <c r="E72" s="121"/>
      <c r="F72" s="122"/>
      <c r="G72" s="86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</row>
    <row r="73" customFormat="false" ht="15.75" hidden="false" customHeight="true" outlineLevel="0" collapsed="false">
      <c r="A73" s="30"/>
      <c r="B73" s="86"/>
      <c r="C73" s="118" t="s">
        <v>165</v>
      </c>
      <c r="D73" s="118"/>
      <c r="E73" s="118"/>
      <c r="F73" s="118"/>
      <c r="G73" s="86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</row>
    <row r="74" customFormat="false" ht="15.75" hidden="false" customHeight="true" outlineLevel="0" collapsed="false">
      <c r="A74" s="30"/>
      <c r="B74" s="86"/>
      <c r="C74" s="124" t="s">
        <v>166</v>
      </c>
      <c r="D74" s="125" t="n">
        <f aca="false">((D66+E66)+(D68+E68)+(D70+E70)+(D72+E72))/2</f>
        <v>0</v>
      </c>
      <c r="E74" s="126"/>
      <c r="F74" s="127"/>
      <c r="G74" s="86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</row>
    <row r="75" customFormat="false" ht="18.75" hidden="false" customHeight="true" outlineLevel="0" collapsed="false">
      <c r="A75" s="30"/>
      <c r="B75" s="86"/>
      <c r="C75" s="128" t="s">
        <v>167</v>
      </c>
      <c r="D75" s="129"/>
      <c r="E75" s="130"/>
      <c r="F75" s="131"/>
      <c r="G75" s="86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</row>
    <row r="76" customFormat="false" ht="15.75" hidden="false" customHeight="true" outlineLevel="0" collapsed="false">
      <c r="A76" s="30"/>
      <c r="B76" s="86"/>
      <c r="C76" s="118" t="s">
        <v>168</v>
      </c>
      <c r="D76" s="118"/>
      <c r="E76" s="118"/>
      <c r="F76" s="118"/>
      <c r="G76" s="86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</row>
    <row r="77" customFormat="false" ht="15.75" hidden="false" customHeight="true" outlineLevel="0" collapsed="false">
      <c r="A77" s="30"/>
      <c r="B77" s="86"/>
      <c r="C77" s="132" t="s">
        <v>169</v>
      </c>
      <c r="D77" s="133"/>
      <c r="E77" s="134"/>
      <c r="F77" s="135"/>
      <c r="G77" s="86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</row>
    <row r="78" customFormat="false" ht="15.75" hidden="false" customHeight="true" outlineLevel="0" collapsed="false">
      <c r="A78" s="30"/>
      <c r="B78" s="86"/>
      <c r="C78" s="118" t="s">
        <v>170</v>
      </c>
      <c r="D78" s="118"/>
      <c r="E78" s="118"/>
      <c r="F78" s="118"/>
      <c r="G78" s="86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</row>
    <row r="79" customFormat="false" ht="15.75" hidden="false" customHeight="true" outlineLevel="0" collapsed="false">
      <c r="A79" s="30"/>
      <c r="B79" s="86"/>
      <c r="C79" s="136" t="s">
        <v>171</v>
      </c>
      <c r="D79" s="137" t="n">
        <f aca="false">(((D75+E75)+(D77+E77))/2)/2</f>
        <v>0</v>
      </c>
      <c r="E79" s="138"/>
      <c r="F79" s="139"/>
      <c r="G79" s="86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</row>
    <row r="80" customFormat="false" ht="18.75" hidden="false" customHeight="true" outlineLevel="0" collapsed="false">
      <c r="A80" s="30"/>
      <c r="B80" s="86"/>
      <c r="C80" s="132" t="s">
        <v>172</v>
      </c>
      <c r="D80" s="140"/>
      <c r="E80" s="141"/>
      <c r="F80" s="142"/>
      <c r="G80" s="86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</row>
    <row r="81" customFormat="false" ht="15.75" hidden="false" customHeight="true" outlineLevel="0" collapsed="false">
      <c r="A81" s="30"/>
      <c r="B81" s="86"/>
      <c r="C81" s="118" t="s">
        <v>173</v>
      </c>
      <c r="D81" s="118"/>
      <c r="E81" s="118"/>
      <c r="F81" s="118"/>
      <c r="G81" s="86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</row>
    <row r="82" customFormat="false" ht="18.75" hidden="false" customHeight="true" outlineLevel="0" collapsed="false">
      <c r="A82" s="30"/>
      <c r="B82" s="86"/>
      <c r="C82" s="132" t="s">
        <v>174</v>
      </c>
      <c r="D82" s="133"/>
      <c r="E82" s="134"/>
      <c r="F82" s="135"/>
      <c r="G82" s="86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</row>
    <row r="83" customFormat="false" ht="15.75" hidden="false" customHeight="true" outlineLevel="0" collapsed="false">
      <c r="A83" s="30"/>
      <c r="B83" s="86"/>
      <c r="C83" s="118" t="s">
        <v>175</v>
      </c>
      <c r="D83" s="118"/>
      <c r="E83" s="118"/>
      <c r="F83" s="118"/>
      <c r="G83" s="86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</row>
    <row r="84" customFormat="false" ht="15.75" hidden="false" customHeight="true" outlineLevel="0" collapsed="false">
      <c r="A84" s="30"/>
      <c r="B84" s="86"/>
      <c r="C84" s="132" t="s">
        <v>176</v>
      </c>
      <c r="D84" s="133"/>
      <c r="E84" s="134"/>
      <c r="F84" s="143"/>
      <c r="G84" s="86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</row>
    <row r="85" customFormat="false" ht="15.75" hidden="false" customHeight="true" outlineLevel="0" collapsed="false">
      <c r="A85" s="30"/>
      <c r="B85" s="86"/>
      <c r="C85" s="118" t="s">
        <v>177</v>
      </c>
      <c r="D85" s="118"/>
      <c r="E85" s="118"/>
      <c r="F85" s="118"/>
      <c r="G85" s="86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</row>
    <row r="86" customFormat="false" ht="15.75" hidden="false" customHeight="true" outlineLevel="0" collapsed="false">
      <c r="A86" s="30"/>
      <c r="B86" s="86"/>
      <c r="C86" s="132" t="s">
        <v>178</v>
      </c>
      <c r="D86" s="133"/>
      <c r="E86" s="134"/>
      <c r="F86" s="143"/>
      <c r="G86" s="86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</row>
    <row r="87" customFormat="false" ht="15.75" hidden="false" customHeight="true" outlineLevel="0" collapsed="false">
      <c r="A87" s="30"/>
      <c r="B87" s="86"/>
      <c r="C87" s="118" t="s">
        <v>179</v>
      </c>
      <c r="D87" s="118"/>
      <c r="E87" s="118"/>
      <c r="F87" s="118"/>
      <c r="G87" s="86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</row>
    <row r="88" customFormat="false" ht="15.75" hidden="false" customHeight="true" outlineLevel="0" collapsed="false">
      <c r="A88" s="30"/>
      <c r="B88" s="86"/>
      <c r="C88" s="136" t="s">
        <v>180</v>
      </c>
      <c r="D88" s="137" t="n">
        <f aca="false">(((D86+E86)+(D84+E84)+(D82+E82)+(D80+E80))/2)/4</f>
        <v>0</v>
      </c>
      <c r="E88" s="144"/>
      <c r="F88" s="139"/>
      <c r="G88" s="86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</row>
    <row r="89" customFormat="false" ht="18.75" hidden="false" customHeight="true" outlineLevel="0" collapsed="false">
      <c r="A89" s="30"/>
      <c r="B89" s="86"/>
      <c r="C89" s="132" t="s">
        <v>181</v>
      </c>
      <c r="D89" s="133"/>
      <c r="E89" s="134"/>
      <c r="F89" s="143"/>
      <c r="G89" s="86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</row>
    <row r="90" customFormat="false" ht="15.75" hidden="false" customHeight="true" outlineLevel="0" collapsed="false">
      <c r="A90" s="30"/>
      <c r="B90" s="86"/>
      <c r="C90" s="118" t="s">
        <v>182</v>
      </c>
      <c r="D90" s="118"/>
      <c r="E90" s="118"/>
      <c r="F90" s="118"/>
      <c r="G90" s="86"/>
      <c r="H90" s="30"/>
      <c r="I90" s="154"/>
      <c r="J90" s="155"/>
      <c r="K90" s="155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</row>
    <row r="91" customFormat="false" ht="18.75" hidden="false" customHeight="true" outlineLevel="0" collapsed="false">
      <c r="A91" s="30"/>
      <c r="B91" s="86"/>
      <c r="C91" s="132" t="s">
        <v>183</v>
      </c>
      <c r="D91" s="133"/>
      <c r="E91" s="134"/>
      <c r="F91" s="143"/>
      <c r="G91" s="86"/>
      <c r="H91" s="30"/>
      <c r="I91" s="154"/>
      <c r="J91" s="155"/>
      <c r="K91" s="155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</row>
    <row r="92" customFormat="false" ht="15.75" hidden="false" customHeight="true" outlineLevel="0" collapsed="false">
      <c r="A92" s="30"/>
      <c r="B92" s="86"/>
      <c r="C92" s="118" t="s">
        <v>184</v>
      </c>
      <c r="D92" s="118"/>
      <c r="E92" s="118"/>
      <c r="F92" s="118"/>
      <c r="G92" s="86"/>
      <c r="H92" s="30"/>
      <c r="I92" s="154"/>
      <c r="J92" s="155"/>
      <c r="K92" s="155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</row>
    <row r="93" customFormat="false" ht="18.75" hidden="false" customHeight="true" outlineLevel="0" collapsed="false">
      <c r="A93" s="30"/>
      <c r="B93" s="86"/>
      <c r="C93" s="132" t="s">
        <v>185</v>
      </c>
      <c r="D93" s="133"/>
      <c r="E93" s="134"/>
      <c r="F93" s="143"/>
      <c r="G93" s="86"/>
      <c r="H93" s="30"/>
      <c r="I93" s="154"/>
      <c r="J93" s="155"/>
      <c r="K93" s="155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</row>
    <row r="94" customFormat="false" ht="15.75" hidden="false" customHeight="true" outlineLevel="0" collapsed="false">
      <c r="A94" s="30"/>
      <c r="B94" s="86"/>
      <c r="C94" s="118" t="s">
        <v>184</v>
      </c>
      <c r="D94" s="118"/>
      <c r="E94" s="118"/>
      <c r="F94" s="118"/>
      <c r="G94" s="86"/>
      <c r="H94" s="30"/>
      <c r="I94" s="154"/>
      <c r="J94" s="155"/>
      <c r="K94" s="155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</row>
    <row r="95" customFormat="false" ht="18.75" hidden="false" customHeight="true" outlineLevel="0" collapsed="false">
      <c r="A95" s="30"/>
      <c r="B95" s="86"/>
      <c r="C95" s="132" t="s">
        <v>186</v>
      </c>
      <c r="D95" s="133"/>
      <c r="E95" s="134"/>
      <c r="F95" s="143"/>
      <c r="G95" s="86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</row>
    <row r="96" customFormat="false" ht="15.75" hidden="false" customHeight="true" outlineLevel="0" collapsed="false">
      <c r="A96" s="30"/>
      <c r="B96" s="86"/>
      <c r="C96" s="118" t="s">
        <v>187</v>
      </c>
      <c r="D96" s="118"/>
      <c r="E96" s="118"/>
      <c r="F96" s="118"/>
      <c r="G96" s="86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</row>
    <row r="97" customFormat="false" ht="15.75" hidden="false" customHeight="true" outlineLevel="0" collapsed="false">
      <c r="A97" s="30"/>
      <c r="B97" s="86"/>
      <c r="C97" s="132" t="s">
        <v>169</v>
      </c>
      <c r="D97" s="133"/>
      <c r="E97" s="134"/>
      <c r="F97" s="135"/>
      <c r="G97" s="86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</row>
    <row r="98" customFormat="false" ht="15.75" hidden="false" customHeight="true" outlineLevel="0" collapsed="false">
      <c r="A98" s="30"/>
      <c r="B98" s="86"/>
      <c r="C98" s="118" t="s">
        <v>170</v>
      </c>
      <c r="D98" s="118"/>
      <c r="E98" s="118"/>
      <c r="F98" s="118"/>
      <c r="G98" s="86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</row>
    <row r="99" customFormat="false" ht="15.75" hidden="false" customHeight="true" outlineLevel="0" collapsed="false">
      <c r="A99" s="30"/>
      <c r="B99" s="86"/>
      <c r="C99" s="136" t="s">
        <v>93</v>
      </c>
      <c r="D99" s="137" t="n">
        <f aca="false">(((D89+E89)+(D91+E91)+(D93+E93)+(E95+D95)+(D97+E97))/2)/5</f>
        <v>0</v>
      </c>
      <c r="E99" s="144"/>
      <c r="F99" s="139"/>
      <c r="G99" s="86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</row>
    <row r="100" customFormat="false" ht="15.75" hidden="false" customHeight="true" outlineLevel="0" collapsed="false">
      <c r="A100" s="30"/>
      <c r="B100" s="86"/>
      <c r="C100" s="132" t="s">
        <v>188</v>
      </c>
      <c r="D100" s="133"/>
      <c r="E100" s="134"/>
      <c r="F100" s="143"/>
      <c r="G100" s="86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</row>
    <row r="101" customFormat="false" ht="15.75" hidden="false" customHeight="true" outlineLevel="0" collapsed="false">
      <c r="A101" s="30"/>
      <c r="B101" s="86"/>
      <c r="C101" s="118" t="s">
        <v>189</v>
      </c>
      <c r="D101" s="118"/>
      <c r="E101" s="118"/>
      <c r="F101" s="118"/>
      <c r="G101" s="86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</row>
    <row r="102" customFormat="false" ht="18.75" hidden="false" customHeight="true" outlineLevel="0" collapsed="false">
      <c r="A102" s="30"/>
      <c r="B102" s="86"/>
      <c r="C102" s="132" t="s">
        <v>190</v>
      </c>
      <c r="D102" s="133"/>
      <c r="E102" s="134"/>
      <c r="F102" s="135"/>
      <c r="G102" s="86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</row>
    <row r="103" customFormat="false" ht="15.75" hidden="false" customHeight="true" outlineLevel="0" collapsed="false">
      <c r="A103" s="30"/>
      <c r="B103" s="86"/>
      <c r="C103" s="118" t="s">
        <v>191</v>
      </c>
      <c r="D103" s="118"/>
      <c r="E103" s="118"/>
      <c r="F103" s="118"/>
      <c r="G103" s="86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</row>
    <row r="104" customFormat="false" ht="15.75" hidden="false" customHeight="true" outlineLevel="0" collapsed="false">
      <c r="A104" s="30"/>
      <c r="B104" s="86"/>
      <c r="C104" s="132" t="s">
        <v>169</v>
      </c>
      <c r="D104" s="133"/>
      <c r="E104" s="134"/>
      <c r="F104" s="135"/>
      <c r="G104" s="86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</row>
    <row r="105" customFormat="false" ht="15.75" hidden="false" customHeight="true" outlineLevel="0" collapsed="false">
      <c r="A105" s="30"/>
      <c r="B105" s="86"/>
      <c r="C105" s="118" t="s">
        <v>170</v>
      </c>
      <c r="D105" s="118"/>
      <c r="E105" s="118"/>
      <c r="F105" s="118"/>
      <c r="G105" s="86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</row>
    <row r="106" customFormat="false" ht="15.75" hidden="false" customHeight="true" outlineLevel="0" collapsed="false">
      <c r="A106" s="30"/>
      <c r="B106" s="86"/>
      <c r="C106" s="136" t="s">
        <v>192</v>
      </c>
      <c r="D106" s="137" t="n">
        <f aca="false">(((D100+E100)+(D102+E102)+(D104+E104))/2)/3</f>
        <v>0</v>
      </c>
      <c r="E106" s="144"/>
      <c r="F106" s="139"/>
      <c r="G106" s="86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 customFormat="false" ht="15.75" hidden="false" customHeight="true" outlineLevel="0" collapsed="false">
      <c r="A107" s="30"/>
      <c r="B107" s="86"/>
      <c r="C107" s="145" t="s">
        <v>193</v>
      </c>
      <c r="D107" s="146" t="n">
        <f aca="false">D79+D88+D99+D106</f>
        <v>0</v>
      </c>
      <c r="E107" s="147"/>
      <c r="F107" s="148"/>
      <c r="G107" s="86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 customFormat="false" ht="15.75" hidden="false" customHeight="true" outlineLevel="0" collapsed="false">
      <c r="A108" s="30"/>
      <c r="B108" s="86"/>
      <c r="C108" s="149" t="s">
        <v>196</v>
      </c>
      <c r="D108" s="150" t="n">
        <f aca="false">D107+D74</f>
        <v>0</v>
      </c>
      <c r="E108" s="151"/>
      <c r="F108" s="152"/>
      <c r="G108" s="86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 customFormat="false" ht="15.75" hidden="false" customHeight="true" outlineLevel="0" collapsed="false">
      <c r="A109" s="30"/>
      <c r="B109" s="86"/>
      <c r="C109" s="153" t="s">
        <v>197</v>
      </c>
      <c r="D109" s="153"/>
      <c r="E109" s="153"/>
      <c r="F109" s="153"/>
      <c r="G109" s="86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 customFormat="false" ht="15.75" hidden="false" customHeight="true" outlineLevel="0" collapsed="false">
      <c r="A110" s="30"/>
      <c r="B110" s="86"/>
      <c r="C110" s="109"/>
      <c r="D110" s="110" t="s">
        <v>154</v>
      </c>
      <c r="E110" s="110"/>
      <c r="F110" s="111" t="s">
        <v>155</v>
      </c>
      <c r="G110" s="86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 customFormat="false" ht="30" hidden="false" customHeight="true" outlineLevel="0" collapsed="false">
      <c r="A111" s="30"/>
      <c r="B111" s="86"/>
      <c r="C111" s="112"/>
      <c r="D111" s="113" t="s">
        <v>156</v>
      </c>
      <c r="E111" s="113" t="s">
        <v>157</v>
      </c>
      <c r="F111" s="111"/>
      <c r="G111" s="86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</row>
    <row r="112" customFormat="false" ht="15.75" hidden="false" customHeight="true" outlineLevel="0" collapsed="false">
      <c r="A112" s="30"/>
      <c r="B112" s="86"/>
      <c r="C112" s="114" t="s">
        <v>158</v>
      </c>
      <c r="D112" s="115"/>
      <c r="E112" s="116"/>
      <c r="F112" s="117"/>
      <c r="G112" s="86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</row>
    <row r="113" customFormat="false" ht="15" hidden="false" customHeight="true" outlineLevel="0" collapsed="false">
      <c r="A113" s="30"/>
      <c r="B113" s="86"/>
      <c r="C113" s="118" t="s">
        <v>159</v>
      </c>
      <c r="D113" s="118"/>
      <c r="E113" s="118"/>
      <c r="F113" s="118"/>
      <c r="G113" s="86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</row>
    <row r="114" customFormat="false" ht="15.75" hidden="false" customHeight="true" outlineLevel="0" collapsed="false">
      <c r="A114" s="30"/>
      <c r="B114" s="86"/>
      <c r="C114" s="119" t="s">
        <v>160</v>
      </c>
      <c r="D114" s="120"/>
      <c r="E114" s="121"/>
      <c r="F114" s="122"/>
      <c r="G114" s="86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</row>
    <row r="115" customFormat="false" ht="15" hidden="false" customHeight="true" outlineLevel="0" collapsed="false">
      <c r="A115" s="30"/>
      <c r="B115" s="86"/>
      <c r="C115" s="118" t="s">
        <v>161</v>
      </c>
      <c r="D115" s="118"/>
      <c r="E115" s="118"/>
      <c r="F115" s="118"/>
      <c r="G115" s="86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</row>
    <row r="116" customFormat="false" ht="15.75" hidden="false" customHeight="true" outlineLevel="0" collapsed="false">
      <c r="A116" s="30"/>
      <c r="B116" s="86"/>
      <c r="C116" s="123" t="s">
        <v>162</v>
      </c>
      <c r="D116" s="120"/>
      <c r="E116" s="121"/>
      <c r="F116" s="122"/>
      <c r="G116" s="86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 customFormat="false" ht="18.75" hidden="false" customHeight="true" outlineLevel="0" collapsed="false">
      <c r="A117" s="30"/>
      <c r="B117" s="86"/>
      <c r="C117" s="118" t="s">
        <v>163</v>
      </c>
      <c r="D117" s="118"/>
      <c r="E117" s="118"/>
      <c r="F117" s="118"/>
      <c r="G117" s="86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</row>
    <row r="118" customFormat="false" ht="15.75" hidden="false" customHeight="true" outlineLevel="0" collapsed="false">
      <c r="A118" s="30"/>
      <c r="B118" s="86"/>
      <c r="C118" s="123" t="s">
        <v>164</v>
      </c>
      <c r="D118" s="120"/>
      <c r="E118" s="121"/>
      <c r="F118" s="122"/>
      <c r="G118" s="86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</row>
    <row r="119" customFormat="false" ht="15.75" hidden="false" customHeight="true" outlineLevel="0" collapsed="false">
      <c r="A119" s="30"/>
      <c r="B119" s="86"/>
      <c r="C119" s="118" t="s">
        <v>165</v>
      </c>
      <c r="D119" s="118"/>
      <c r="E119" s="118"/>
      <c r="F119" s="118"/>
      <c r="G119" s="86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</row>
    <row r="120" customFormat="false" ht="18.75" hidden="false" customHeight="true" outlineLevel="0" collapsed="false">
      <c r="A120" s="30"/>
      <c r="B120" s="86"/>
      <c r="C120" s="124" t="s">
        <v>166</v>
      </c>
      <c r="D120" s="125" t="n">
        <f aca="false">((D112+E112)+(D114+E114)+(D116+E116)+(D118+E118))/2</f>
        <v>0</v>
      </c>
      <c r="E120" s="126"/>
      <c r="F120" s="127"/>
      <c r="G120" s="86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</row>
    <row r="121" customFormat="false" ht="15.75" hidden="false" customHeight="true" outlineLevel="0" collapsed="false">
      <c r="A121" s="30"/>
      <c r="B121" s="86"/>
      <c r="C121" s="128" t="s">
        <v>167</v>
      </c>
      <c r="D121" s="129"/>
      <c r="E121" s="130"/>
      <c r="F121" s="131"/>
      <c r="G121" s="86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</row>
    <row r="122" customFormat="false" ht="15.75" hidden="false" customHeight="true" outlineLevel="0" collapsed="false">
      <c r="A122" s="30"/>
      <c r="B122" s="86"/>
      <c r="C122" s="118" t="s">
        <v>168</v>
      </c>
      <c r="D122" s="118"/>
      <c r="E122" s="118"/>
      <c r="F122" s="118"/>
      <c r="G122" s="86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</row>
    <row r="123" customFormat="false" ht="15.75" hidden="false" customHeight="true" outlineLevel="0" collapsed="false">
      <c r="A123" s="30"/>
      <c r="B123" s="86"/>
      <c r="C123" s="132" t="s">
        <v>169</v>
      </c>
      <c r="D123" s="133"/>
      <c r="E123" s="134"/>
      <c r="F123" s="135"/>
      <c r="G123" s="86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</row>
    <row r="124" customFormat="false" ht="15.75" hidden="false" customHeight="true" outlineLevel="0" collapsed="false">
      <c r="A124" s="30"/>
      <c r="B124" s="86"/>
      <c r="C124" s="118" t="s">
        <v>170</v>
      </c>
      <c r="D124" s="118"/>
      <c r="E124" s="118"/>
      <c r="F124" s="118"/>
      <c r="G124" s="86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</row>
    <row r="125" customFormat="false" ht="18.75" hidden="false" customHeight="true" outlineLevel="0" collapsed="false">
      <c r="A125" s="30"/>
      <c r="B125" s="86"/>
      <c r="C125" s="136" t="s">
        <v>171</v>
      </c>
      <c r="D125" s="137" t="n">
        <f aca="false">(((D121+E121)+(D123+E123))/2)/2</f>
        <v>0</v>
      </c>
      <c r="E125" s="138"/>
      <c r="F125" s="139"/>
      <c r="G125" s="86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</row>
    <row r="126" customFormat="false" ht="15.75" hidden="false" customHeight="true" outlineLevel="0" collapsed="false">
      <c r="A126" s="30"/>
      <c r="B126" s="86"/>
      <c r="C126" s="132" t="s">
        <v>172</v>
      </c>
      <c r="D126" s="140"/>
      <c r="E126" s="141"/>
      <c r="F126" s="142"/>
      <c r="G126" s="86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</row>
    <row r="127" customFormat="false" ht="18.75" hidden="false" customHeight="true" outlineLevel="0" collapsed="false">
      <c r="A127" s="30"/>
      <c r="B127" s="86"/>
      <c r="C127" s="118" t="s">
        <v>173</v>
      </c>
      <c r="D127" s="118"/>
      <c r="E127" s="118"/>
      <c r="F127" s="118"/>
      <c r="G127" s="86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</row>
    <row r="128" customFormat="false" ht="15.75" hidden="false" customHeight="true" outlineLevel="0" collapsed="false">
      <c r="A128" s="30"/>
      <c r="B128" s="86"/>
      <c r="C128" s="132" t="s">
        <v>174</v>
      </c>
      <c r="D128" s="133"/>
      <c r="E128" s="134"/>
      <c r="F128" s="135"/>
      <c r="G128" s="86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</row>
    <row r="129" customFormat="false" ht="15.75" hidden="false" customHeight="true" outlineLevel="0" collapsed="false">
      <c r="A129" s="30"/>
      <c r="B129" s="86"/>
      <c r="C129" s="118" t="s">
        <v>175</v>
      </c>
      <c r="D129" s="118"/>
      <c r="E129" s="118"/>
      <c r="F129" s="118"/>
      <c r="G129" s="86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</row>
    <row r="130" customFormat="false" ht="15.75" hidden="false" customHeight="true" outlineLevel="0" collapsed="false">
      <c r="A130" s="30"/>
      <c r="B130" s="86"/>
      <c r="C130" s="132" t="s">
        <v>176</v>
      </c>
      <c r="D130" s="133"/>
      <c r="E130" s="134"/>
      <c r="F130" s="143"/>
      <c r="G130" s="86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</row>
    <row r="131" customFormat="false" ht="15.75" hidden="false" customHeight="true" outlineLevel="0" collapsed="false">
      <c r="A131" s="30"/>
      <c r="B131" s="86"/>
      <c r="C131" s="118" t="s">
        <v>177</v>
      </c>
      <c r="D131" s="118"/>
      <c r="E131" s="118"/>
      <c r="F131" s="118"/>
      <c r="G131" s="86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</row>
    <row r="132" customFormat="false" ht="15.75" hidden="false" customHeight="true" outlineLevel="0" collapsed="false">
      <c r="A132" s="30"/>
      <c r="B132" s="86"/>
      <c r="C132" s="132" t="s">
        <v>178</v>
      </c>
      <c r="D132" s="133"/>
      <c r="E132" s="134"/>
      <c r="F132" s="143"/>
      <c r="G132" s="86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</row>
    <row r="133" customFormat="false" ht="15.75" hidden="false" customHeight="true" outlineLevel="0" collapsed="false">
      <c r="A133" s="30"/>
      <c r="B133" s="86"/>
      <c r="C133" s="118" t="s">
        <v>179</v>
      </c>
      <c r="D133" s="118"/>
      <c r="E133" s="118"/>
      <c r="F133" s="118"/>
      <c r="G133" s="86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</row>
    <row r="134" customFormat="false" ht="18.75" hidden="false" customHeight="true" outlineLevel="0" collapsed="false">
      <c r="A134" s="30"/>
      <c r="B134" s="86"/>
      <c r="C134" s="136" t="s">
        <v>180</v>
      </c>
      <c r="D134" s="137" t="n">
        <f aca="false">(((D132+E132)+(D130+E130)+(D128+E128)+(D126+E126))/2)/4</f>
        <v>0</v>
      </c>
      <c r="E134" s="144"/>
      <c r="F134" s="139"/>
      <c r="G134" s="86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</row>
    <row r="135" customFormat="false" ht="15.75" hidden="false" customHeight="true" outlineLevel="0" collapsed="false">
      <c r="A135" s="30"/>
      <c r="B135" s="86"/>
      <c r="C135" s="132" t="s">
        <v>181</v>
      </c>
      <c r="D135" s="133"/>
      <c r="E135" s="134"/>
      <c r="F135" s="143"/>
      <c r="G135" s="86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</row>
    <row r="136" customFormat="false" ht="18.75" hidden="false" customHeight="true" outlineLevel="0" collapsed="false">
      <c r="A136" s="30"/>
      <c r="B136" s="86"/>
      <c r="C136" s="118" t="s">
        <v>182</v>
      </c>
      <c r="D136" s="118"/>
      <c r="E136" s="118"/>
      <c r="F136" s="118"/>
      <c r="G136" s="86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</row>
    <row r="137" customFormat="false" ht="15.75" hidden="false" customHeight="true" outlineLevel="0" collapsed="false">
      <c r="A137" s="30"/>
      <c r="B137" s="86"/>
      <c r="C137" s="132" t="s">
        <v>183</v>
      </c>
      <c r="D137" s="133"/>
      <c r="E137" s="134"/>
      <c r="F137" s="143"/>
      <c r="G137" s="86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</row>
    <row r="138" customFormat="false" ht="18.75" hidden="false" customHeight="true" outlineLevel="0" collapsed="false">
      <c r="A138" s="30"/>
      <c r="B138" s="86"/>
      <c r="C138" s="118" t="s">
        <v>184</v>
      </c>
      <c r="D138" s="118"/>
      <c r="E138" s="118"/>
      <c r="F138" s="118"/>
      <c r="G138" s="86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</row>
    <row r="139" customFormat="false" ht="15.75" hidden="false" customHeight="true" outlineLevel="0" collapsed="false">
      <c r="A139" s="30"/>
      <c r="B139" s="86"/>
      <c r="C139" s="132" t="s">
        <v>185</v>
      </c>
      <c r="D139" s="133"/>
      <c r="E139" s="134"/>
      <c r="F139" s="143"/>
      <c r="G139" s="86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</row>
    <row r="140" customFormat="false" ht="18.75" hidden="false" customHeight="true" outlineLevel="0" collapsed="false">
      <c r="A140" s="30"/>
      <c r="B140" s="86"/>
      <c r="C140" s="118" t="s">
        <v>184</v>
      </c>
      <c r="D140" s="118"/>
      <c r="E140" s="118"/>
      <c r="F140" s="118"/>
      <c r="G140" s="86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</row>
    <row r="141" customFormat="false" ht="15.75" hidden="false" customHeight="true" outlineLevel="0" collapsed="false">
      <c r="A141" s="30"/>
      <c r="B141" s="86"/>
      <c r="C141" s="132" t="s">
        <v>186</v>
      </c>
      <c r="D141" s="133"/>
      <c r="E141" s="134"/>
      <c r="F141" s="143"/>
      <c r="G141" s="86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</row>
    <row r="142" customFormat="false" ht="15.75" hidden="false" customHeight="true" outlineLevel="0" collapsed="false">
      <c r="A142" s="30"/>
      <c r="B142" s="86"/>
      <c r="C142" s="118" t="s">
        <v>187</v>
      </c>
      <c r="D142" s="118"/>
      <c r="E142" s="118"/>
      <c r="F142" s="118"/>
      <c r="G142" s="86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</row>
    <row r="143" customFormat="false" ht="15.75" hidden="false" customHeight="true" outlineLevel="0" collapsed="false">
      <c r="A143" s="30"/>
      <c r="B143" s="86"/>
      <c r="C143" s="132" t="s">
        <v>169</v>
      </c>
      <c r="D143" s="133"/>
      <c r="E143" s="134"/>
      <c r="F143" s="135"/>
      <c r="G143" s="86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</row>
    <row r="144" customFormat="false" ht="15.75" hidden="false" customHeight="true" outlineLevel="0" collapsed="false">
      <c r="A144" s="30"/>
      <c r="B144" s="86"/>
      <c r="C144" s="118" t="s">
        <v>170</v>
      </c>
      <c r="D144" s="118"/>
      <c r="E144" s="118"/>
      <c r="F144" s="118"/>
      <c r="G144" s="86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</row>
    <row r="145" customFormat="false" ht="15.75" hidden="false" customHeight="true" outlineLevel="0" collapsed="false">
      <c r="A145" s="30"/>
      <c r="B145" s="86"/>
      <c r="C145" s="136" t="s">
        <v>93</v>
      </c>
      <c r="D145" s="137" t="n">
        <f aca="false">(((D135+E135)+(D137+E137)+(D139+E139)+(E141+D141)+(D143+E143))/2)/5</f>
        <v>0</v>
      </c>
      <c r="E145" s="144"/>
      <c r="F145" s="139"/>
      <c r="G145" s="86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</row>
    <row r="146" customFormat="false" ht="15.75" hidden="false" customHeight="true" outlineLevel="0" collapsed="false">
      <c r="A146" s="30"/>
      <c r="B146" s="86"/>
      <c r="C146" s="132" t="s">
        <v>188</v>
      </c>
      <c r="D146" s="133"/>
      <c r="E146" s="134"/>
      <c r="F146" s="143"/>
      <c r="G146" s="86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</row>
    <row r="147" customFormat="false" ht="18.75" hidden="false" customHeight="true" outlineLevel="0" collapsed="false">
      <c r="A147" s="30"/>
      <c r="B147" s="86"/>
      <c r="C147" s="118" t="s">
        <v>189</v>
      </c>
      <c r="D147" s="118"/>
      <c r="E147" s="118"/>
      <c r="F147" s="118"/>
      <c r="G147" s="86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</row>
    <row r="148" customFormat="false" ht="15.75" hidden="false" customHeight="true" outlineLevel="0" collapsed="false">
      <c r="A148" s="30"/>
      <c r="B148" s="86"/>
      <c r="C148" s="132" t="s">
        <v>190</v>
      </c>
      <c r="D148" s="133"/>
      <c r="E148" s="134"/>
      <c r="F148" s="135"/>
      <c r="G148" s="86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</row>
    <row r="149" customFormat="false" ht="15.75" hidden="false" customHeight="true" outlineLevel="0" collapsed="false">
      <c r="A149" s="30"/>
      <c r="B149" s="86"/>
      <c r="C149" s="118" t="s">
        <v>191</v>
      </c>
      <c r="D149" s="118"/>
      <c r="E149" s="118"/>
      <c r="F149" s="118"/>
      <c r="G149" s="86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</row>
    <row r="150" customFormat="false" ht="15.75" hidden="false" customHeight="true" outlineLevel="0" collapsed="false">
      <c r="A150" s="30"/>
      <c r="B150" s="86"/>
      <c r="C150" s="132" t="s">
        <v>169</v>
      </c>
      <c r="D150" s="133"/>
      <c r="E150" s="134"/>
      <c r="F150" s="135"/>
      <c r="G150" s="86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</row>
    <row r="151" customFormat="false" ht="15.75" hidden="false" customHeight="true" outlineLevel="0" collapsed="false">
      <c r="A151" s="30"/>
      <c r="B151" s="86"/>
      <c r="C151" s="118" t="s">
        <v>170</v>
      </c>
      <c r="D151" s="118"/>
      <c r="E151" s="118"/>
      <c r="F151" s="118"/>
      <c r="G151" s="86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</row>
    <row r="152" customFormat="false" ht="15.75" hidden="false" customHeight="true" outlineLevel="0" collapsed="false">
      <c r="A152" s="30"/>
      <c r="B152" s="86"/>
      <c r="C152" s="136" t="s">
        <v>192</v>
      </c>
      <c r="D152" s="137" t="n">
        <f aca="false">(((D146+E146)+(D148+E148)+(D150+E150))/2)/3</f>
        <v>0</v>
      </c>
      <c r="E152" s="144"/>
      <c r="F152" s="139"/>
      <c r="G152" s="86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</row>
    <row r="153" customFormat="false" ht="15.75" hidden="false" customHeight="true" outlineLevel="0" collapsed="false">
      <c r="A153" s="30"/>
      <c r="B153" s="86"/>
      <c r="C153" s="145" t="s">
        <v>193</v>
      </c>
      <c r="D153" s="146" t="n">
        <f aca="false">D125+D134+D145+D152</f>
        <v>0</v>
      </c>
      <c r="E153" s="147"/>
      <c r="F153" s="148"/>
      <c r="G153" s="86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</row>
    <row r="154" customFormat="false" ht="15.75" hidden="false" customHeight="true" outlineLevel="0" collapsed="false">
      <c r="A154" s="30"/>
      <c r="B154" s="86"/>
      <c r="C154" s="149" t="s">
        <v>198</v>
      </c>
      <c r="D154" s="150" t="n">
        <f aca="false">D153+D120</f>
        <v>0</v>
      </c>
      <c r="E154" s="151"/>
      <c r="F154" s="152"/>
      <c r="G154" s="86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</row>
    <row r="155" customFormat="false" ht="15.75" hidden="false" customHeight="true" outlineLevel="0" collapsed="false">
      <c r="A155" s="30"/>
      <c r="B155" s="86"/>
      <c r="C155" s="153" t="s">
        <v>199</v>
      </c>
      <c r="D155" s="153"/>
      <c r="E155" s="153"/>
      <c r="F155" s="153"/>
      <c r="G155" s="86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</row>
    <row r="156" customFormat="false" ht="15.75" hidden="false" customHeight="true" outlineLevel="0" collapsed="false">
      <c r="A156" s="30"/>
      <c r="B156" s="86"/>
      <c r="C156" s="156" t="s">
        <v>200</v>
      </c>
      <c r="D156" s="137" t="e">
        <f aca="false">#ref!</f>
        <v>#NAME?</v>
      </c>
      <c r="E156" s="137"/>
      <c r="F156" s="137"/>
      <c r="G156" s="86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</row>
    <row r="157" customFormat="false" ht="15.75" hidden="false" customHeight="true" outlineLevel="0" collapsed="false">
      <c r="A157" s="30"/>
      <c r="B157" s="86"/>
      <c r="C157" s="156" t="s">
        <v>201</v>
      </c>
      <c r="D157" s="137" t="e">
        <f aca="false">#ref!</f>
        <v>#NAME?</v>
      </c>
      <c r="E157" s="137"/>
      <c r="F157" s="137"/>
      <c r="G157" s="86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</row>
    <row r="158" customFormat="false" ht="15.75" hidden="false" customHeight="true" outlineLevel="0" collapsed="false">
      <c r="A158" s="30"/>
      <c r="B158" s="86"/>
      <c r="C158" s="156" t="s">
        <v>202</v>
      </c>
      <c r="D158" s="137" t="e">
        <f aca="false">#ref!</f>
        <v>#NAME?</v>
      </c>
      <c r="E158" s="137"/>
      <c r="F158" s="137"/>
      <c r="G158" s="86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</row>
    <row r="159" customFormat="false" ht="15.75" hidden="false" customHeight="true" outlineLevel="0" collapsed="false">
      <c r="A159" s="30"/>
      <c r="B159" s="86"/>
      <c r="C159" s="156" t="s">
        <v>203</v>
      </c>
      <c r="D159" s="137" t="e">
        <f aca="false">#ref!</f>
        <v>#NAME?</v>
      </c>
      <c r="E159" s="137"/>
      <c r="F159" s="137"/>
      <c r="G159" s="86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</row>
    <row r="160" customFormat="false" ht="15.75" hidden="false" customHeight="true" outlineLevel="0" collapsed="false">
      <c r="A160" s="30"/>
      <c r="B160" s="86"/>
      <c r="C160" s="157" t="s">
        <v>204</v>
      </c>
      <c r="D160" s="158" t="e">
        <f aca="false">IF(D156&lt;&gt;"",AVERAGE(D156:D159)*2,"")</f>
        <v>#NAME?</v>
      </c>
      <c r="E160" s="159"/>
      <c r="F160" s="160"/>
      <c r="G160" s="86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</row>
    <row r="161" customFormat="false" ht="15.75" hidden="false" customHeight="true" outlineLevel="0" collapsed="false">
      <c r="A161" s="30"/>
      <c r="B161" s="86"/>
      <c r="C161" s="86"/>
      <c r="D161" s="86"/>
      <c r="E161" s="86"/>
      <c r="F161" s="86"/>
      <c r="G161" s="86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</row>
    <row r="162" customFormat="false" ht="15.75" hidden="false" customHeight="true" outlineLevel="0" collapsed="false">
      <c r="A162" s="30"/>
      <c r="B162" s="86"/>
      <c r="C162" s="161" t="s">
        <v>205</v>
      </c>
      <c r="D162" s="161"/>
      <c r="E162" s="161"/>
      <c r="F162" s="161"/>
      <c r="G162" s="86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</row>
    <row r="163" customFormat="false" ht="15.75" hidden="false" customHeight="true" outlineLevel="0" collapsed="false">
      <c r="A163" s="30"/>
      <c r="B163" s="86"/>
      <c r="C163" s="162" t="s">
        <v>206</v>
      </c>
      <c r="D163" s="163"/>
      <c r="E163" s="163"/>
      <c r="F163" s="163"/>
      <c r="G163" s="86"/>
      <c r="H163" s="30"/>
      <c r="I163" s="164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</row>
    <row r="164" customFormat="false" ht="15.75" hidden="false" customHeight="true" outlineLevel="0" collapsed="false">
      <c r="A164" s="30"/>
      <c r="B164" s="86"/>
      <c r="C164" s="165" t="s">
        <v>207</v>
      </c>
      <c r="D164" s="166"/>
      <c r="E164" s="166"/>
      <c r="F164" s="166"/>
      <c r="G164" s="86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</row>
    <row r="165" customFormat="false" ht="15.75" hidden="false" customHeight="true" outlineLevel="0" collapsed="false">
      <c r="A165" s="30"/>
      <c r="B165" s="86"/>
      <c r="C165" s="165" t="s">
        <v>208</v>
      </c>
      <c r="D165" s="166"/>
      <c r="E165" s="166"/>
      <c r="F165" s="166"/>
      <c r="G165" s="86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</row>
    <row r="166" customFormat="false" ht="15.75" hidden="false" customHeight="true" outlineLevel="0" collapsed="false">
      <c r="A166" s="30"/>
      <c r="B166" s="86"/>
      <c r="C166" s="165" t="s">
        <v>209</v>
      </c>
      <c r="D166" s="166" t="n">
        <f aca="false">ROUND((D28+D74+D120)/12,2)</f>
        <v>0</v>
      </c>
      <c r="E166" s="166"/>
      <c r="F166" s="166"/>
      <c r="G166" s="86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</row>
    <row r="167" customFormat="false" ht="15.75" hidden="false" customHeight="true" outlineLevel="0" collapsed="false">
      <c r="A167" s="30"/>
      <c r="B167" s="86"/>
      <c r="C167" s="165" t="s">
        <v>210</v>
      </c>
      <c r="D167" s="166" t="n">
        <f aca="false">ROUND((D33+D79+D125)*0.5/3,2)</f>
        <v>0</v>
      </c>
      <c r="E167" s="166"/>
      <c r="F167" s="166"/>
      <c r="G167" s="86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</row>
    <row r="168" customFormat="false" ht="15.75" hidden="false" customHeight="true" outlineLevel="0" collapsed="false">
      <c r="A168" s="30"/>
      <c r="B168" s="86"/>
      <c r="C168" s="165" t="s">
        <v>211</v>
      </c>
      <c r="D168" s="166" t="n">
        <f aca="false">ROUND((D31+D51+D58+D77+D97+D104+D123+D143+D150)*0.5/9,2)</f>
        <v>0</v>
      </c>
      <c r="E168" s="166"/>
      <c r="F168" s="166"/>
      <c r="G168" s="86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</row>
    <row r="169" customFormat="false" ht="15.75" hidden="false" customHeight="true" outlineLevel="0" collapsed="false">
      <c r="A169" s="30"/>
      <c r="B169" s="86"/>
      <c r="C169" s="165" t="s">
        <v>212</v>
      </c>
      <c r="D169" s="166" t="n">
        <f aca="false">ROUND((D60+D105+D150)*0.5/3,2)</f>
        <v>0</v>
      </c>
      <c r="E169" s="166"/>
      <c r="F169" s="166"/>
      <c r="G169" s="86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</row>
    <row r="170" customFormat="false" ht="15.75" hidden="false" customHeight="true" outlineLevel="0" collapsed="false">
      <c r="A170" s="30"/>
      <c r="B170" s="86"/>
      <c r="C170" s="165" t="s">
        <v>213</v>
      </c>
      <c r="D170" s="166" t="n">
        <f aca="false">ROUND((D42+D88+D134)/3,2)</f>
        <v>0</v>
      </c>
      <c r="E170" s="166"/>
      <c r="F170" s="166"/>
      <c r="G170" s="86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</row>
    <row r="171" customFormat="false" ht="15.75" hidden="false" customHeight="true" outlineLevel="0" collapsed="false">
      <c r="A171" s="30"/>
      <c r="B171" s="86"/>
      <c r="C171" s="165" t="s">
        <v>214</v>
      </c>
      <c r="D171" s="166" t="n">
        <f aca="false">ROUND((D53+D99+D145)*0.5/3,2)</f>
        <v>0</v>
      </c>
      <c r="E171" s="166"/>
      <c r="F171" s="166"/>
      <c r="G171" s="86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</row>
    <row r="172" customFormat="false" ht="15.75" hidden="false" customHeight="true" outlineLevel="0" collapsed="false">
      <c r="A172" s="30"/>
      <c r="B172" s="86"/>
      <c r="C172" s="165" t="s">
        <v>215</v>
      </c>
      <c r="D172" s="166"/>
      <c r="E172" s="166"/>
      <c r="F172" s="166"/>
      <c r="G172" s="86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</row>
    <row r="173" customFormat="false" ht="15.75" hidden="false" customHeight="true" outlineLevel="0" collapsed="false">
      <c r="A173" s="30"/>
      <c r="B173" s="86"/>
      <c r="C173" s="165" t="s">
        <v>204</v>
      </c>
      <c r="D173" s="166" t="e">
        <f aca="false">D160</f>
        <v>#NAME?</v>
      </c>
      <c r="E173" s="166"/>
      <c r="F173" s="166"/>
      <c r="G173" s="86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</row>
    <row r="174" customFormat="false" ht="15.75" hidden="false" customHeight="true" outlineLevel="0" collapsed="false">
      <c r="A174" s="30"/>
      <c r="B174" s="86"/>
      <c r="C174" s="167" t="s">
        <v>216</v>
      </c>
      <c r="D174" s="168"/>
      <c r="E174" s="169"/>
      <c r="F174" s="170"/>
      <c r="G174" s="86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</row>
    <row r="175" customFormat="false" ht="15.75" hidden="false" customHeight="true" outlineLevel="0" collapsed="false">
      <c r="A175" s="30"/>
      <c r="B175" s="86"/>
      <c r="C175" s="167" t="s">
        <v>217</v>
      </c>
      <c r="D175" s="168"/>
      <c r="E175" s="169"/>
      <c r="F175" s="170"/>
      <c r="G175" s="86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</row>
    <row r="176" customFormat="false" ht="15.75" hidden="false" customHeight="true" outlineLevel="0" collapsed="false">
      <c r="A176" s="30"/>
      <c r="B176" s="86"/>
      <c r="C176" s="171" t="s">
        <v>218</v>
      </c>
      <c r="D176" s="172" t="e">
        <f aca="false">IF(ROUND(SUM(D163:D173)+D175-D174,2)&gt;10,10,ROUND(SUM(D163:D173)+D175-D174,2))</f>
        <v>#NAME?</v>
      </c>
      <c r="E176" s="173"/>
      <c r="F176" s="86"/>
      <c r="G176" s="86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</row>
    <row r="177" customFormat="false" ht="15.75" hidden="false" customHeight="true" outlineLevel="0" collapsed="false">
      <c r="A177" s="30"/>
      <c r="B177" s="86"/>
      <c r="C177" s="86"/>
      <c r="D177" s="86"/>
      <c r="E177" s="86"/>
      <c r="F177" s="86"/>
      <c r="G177" s="86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</row>
    <row r="178" customFormat="false" ht="15.75" hidden="false" customHeight="true" outlineLevel="0" collapsed="false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</row>
    <row r="179" customFormat="false" ht="15.75" hidden="false" customHeight="true" outlineLevel="0" collapsed="false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</row>
    <row r="180" customFormat="false" ht="15.75" hidden="false" customHeight="true" outlineLevel="0" collapsed="false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</row>
    <row r="181" customFormat="false" ht="15.75" hidden="false" customHeight="true" outlineLevel="0" collapsed="false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</row>
    <row r="182" customFormat="false" ht="15.75" hidden="false" customHeight="true" outlineLevel="0" collapsed="false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</row>
    <row r="183" customFormat="false" ht="15.75" hidden="false" customHeight="true" outlineLevel="0" collapsed="false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</row>
    <row r="184" customFormat="false" ht="15.75" hidden="false" customHeight="true" outlineLevel="0" collapsed="false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</row>
    <row r="185" customFormat="false" ht="15.75" hidden="false" customHeight="true" outlineLevel="0" collapsed="false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</row>
    <row r="186" customFormat="false" ht="15.75" hidden="false" customHeight="true" outlineLevel="0" collapsed="false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</row>
    <row r="187" customFormat="false" ht="15.75" hidden="false" customHeight="true" outlineLevel="0" collapsed="false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</row>
    <row r="188" customFormat="false" ht="15.75" hidden="false" customHeight="true" outlineLevel="0" collapsed="false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</row>
    <row r="189" customFormat="false" ht="15.75" hidden="false" customHeight="true" outlineLevel="0" collapsed="false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</row>
    <row r="190" customFormat="false" ht="15.75" hidden="false" customHeight="true" outlineLevel="0" collapsed="false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</row>
    <row r="191" customFormat="false" ht="15.75" hidden="false" customHeight="true" outlineLevel="0" collapsed="false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</row>
    <row r="192" customFormat="false" ht="15.75" hidden="false" customHeight="true" outlineLevel="0" collapsed="false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</row>
    <row r="193" customFormat="false" ht="15.75" hidden="false" customHeight="true" outlineLevel="0" collapsed="false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</row>
    <row r="194" customFormat="false" ht="15.75" hidden="false" customHeight="true" outlineLevel="0" collapsed="false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</row>
    <row r="195" customFormat="false" ht="15.75" hidden="false" customHeight="true" outlineLevel="0" collapsed="false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</row>
    <row r="196" customFormat="false" ht="15.75" hidden="false" customHeight="true" outlineLevel="0" collapsed="false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</row>
    <row r="197" customFormat="false" ht="15.75" hidden="false" customHeight="true" outlineLevel="0" collapsed="false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</row>
    <row r="198" customFormat="false" ht="15.75" hidden="false" customHeight="true" outlineLevel="0" collapsed="false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</row>
    <row r="199" customFormat="false" ht="15.75" hidden="false" customHeight="true" outlineLevel="0" collapsed="false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</row>
    <row r="200" customFormat="false" ht="15.75" hidden="false" customHeight="true" outlineLevel="0" collapsed="false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</row>
    <row r="201" customFormat="false" ht="15.75" hidden="false" customHeight="true" outlineLevel="0" collapsed="false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</row>
    <row r="202" customFormat="false" ht="15.75" hidden="false" customHeight="true" outlineLevel="0" collapsed="false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</row>
    <row r="203" customFormat="false" ht="15.75" hidden="false" customHeight="true" outlineLevel="0" collapsed="false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</row>
    <row r="204" customFormat="false" ht="15.75" hidden="false" customHeight="true" outlineLevel="0" collapsed="false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</row>
    <row r="205" customFormat="false" ht="15.75" hidden="false" customHeight="true" outlineLevel="0" collapsed="false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</row>
    <row r="206" customFormat="false" ht="15.75" hidden="false" customHeight="true" outlineLevel="0" collapsed="false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</row>
    <row r="207" customFormat="false" ht="15.75" hidden="false" customHeight="true" outlineLevel="0" collapsed="false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</row>
    <row r="208" customFormat="false" ht="15.75" hidden="false" customHeight="true" outlineLevel="0" collapsed="false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</row>
    <row r="209" customFormat="false" ht="15.75" hidden="false" customHeight="true" outlineLevel="0" collapsed="false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</row>
    <row r="210" customFormat="false" ht="15.75" hidden="false" customHeight="true" outlineLevel="0" collapsed="false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</row>
    <row r="211" customFormat="false" ht="15.75" hidden="false" customHeight="true" outlineLevel="0" collapsed="false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</row>
    <row r="212" customFormat="false" ht="15.75" hidden="false" customHeight="true" outlineLevel="0" collapsed="false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</row>
    <row r="213" customFormat="false" ht="15.75" hidden="false" customHeight="true" outlineLevel="0" collapsed="false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</row>
    <row r="214" customFormat="false" ht="15.75" hidden="false" customHeight="true" outlineLevel="0" collapsed="false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</row>
    <row r="215" customFormat="false" ht="15.75" hidden="false" customHeight="true" outlineLevel="0" collapsed="false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</row>
    <row r="216" customFormat="false" ht="15.75" hidden="false" customHeight="true" outlineLevel="0" collapsed="false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</row>
    <row r="217" customFormat="false" ht="15.75" hidden="false" customHeight="true" outlineLevel="0" collapsed="false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</row>
    <row r="218" customFormat="false" ht="15.75" hidden="false" customHeight="true" outlineLevel="0" collapsed="false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</row>
    <row r="219" customFormat="false" ht="15.75" hidden="false" customHeight="true" outlineLevel="0" collapsed="false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</row>
    <row r="220" customFormat="false" ht="15.75" hidden="false" customHeight="true" outlineLevel="0" collapsed="false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</row>
    <row r="221" customFormat="false" ht="15.75" hidden="false" customHeight="true" outlineLevel="0" collapsed="false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</row>
    <row r="222" customFormat="false" ht="15.75" hidden="false" customHeight="true" outlineLevel="0" collapsed="false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</row>
    <row r="223" customFormat="false" ht="15.75" hidden="false" customHeight="true" outlineLevel="0" collapsed="false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</row>
    <row r="224" customFormat="false" ht="15.75" hidden="false" customHeight="true" outlineLevel="0" collapsed="false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</row>
    <row r="225" customFormat="false" ht="15.75" hidden="false" customHeight="true" outlineLevel="0" collapsed="false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</row>
    <row r="226" customFormat="false" ht="15.75" hidden="false" customHeight="true" outlineLevel="0" collapsed="false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</row>
    <row r="227" customFormat="false" ht="15.75" hidden="false" customHeight="true" outlineLevel="0" collapsed="false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</row>
    <row r="228" customFormat="false" ht="15.75" hidden="false" customHeight="true" outlineLevel="0" collapsed="false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</row>
    <row r="229" customFormat="false" ht="15.75" hidden="false" customHeight="true" outlineLevel="0" collapsed="false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</row>
    <row r="230" customFormat="false" ht="15.75" hidden="false" customHeight="true" outlineLevel="0" collapsed="false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</row>
    <row r="231" customFormat="false" ht="15.75" hidden="false" customHeight="true" outlineLevel="0" collapsed="false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</row>
    <row r="232" customFormat="false" ht="15.75" hidden="false" customHeight="true" outlineLevel="0" collapsed="false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</row>
    <row r="233" customFormat="false" ht="15.75" hidden="false" customHeight="true" outlineLevel="0" collapsed="false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</row>
    <row r="234" customFormat="false" ht="15.75" hidden="false" customHeight="true" outlineLevel="0" collapsed="false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</row>
    <row r="235" customFormat="false" ht="15.75" hidden="false" customHeight="true" outlineLevel="0" collapsed="false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</row>
    <row r="236" customFormat="false" ht="15.75" hidden="false" customHeight="true" outlineLevel="0" collapsed="false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</row>
    <row r="237" customFormat="false" ht="15.75" hidden="false" customHeight="true" outlineLevel="0" collapsed="false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</row>
    <row r="238" customFormat="false" ht="15.75" hidden="false" customHeight="true" outlineLevel="0" collapsed="false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</row>
    <row r="239" customFormat="false" ht="15.75" hidden="false" customHeight="true" outlineLevel="0" collapsed="false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</row>
    <row r="240" customFormat="false" ht="15.75" hidden="false" customHeight="true" outlineLevel="0" collapsed="false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</row>
    <row r="241" customFormat="false" ht="15.75" hidden="false" customHeight="true" outlineLevel="0" collapsed="false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</row>
    <row r="242" customFormat="false" ht="15.75" hidden="false" customHeight="true" outlineLevel="0" collapsed="false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</row>
    <row r="243" customFormat="false" ht="15.75" hidden="false" customHeight="true" outlineLevel="0" collapsed="false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</row>
    <row r="244" customFormat="false" ht="15.75" hidden="false" customHeight="true" outlineLevel="0" collapsed="false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</row>
    <row r="245" customFormat="false" ht="15.75" hidden="false" customHeight="true" outlineLevel="0" collapsed="false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</row>
    <row r="246" customFormat="false" ht="15.75" hidden="false" customHeight="true" outlineLevel="0" collapsed="false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</row>
    <row r="247" customFormat="false" ht="15.75" hidden="false" customHeight="true" outlineLevel="0" collapsed="false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</row>
    <row r="248" customFormat="false" ht="15.75" hidden="false" customHeight="true" outlineLevel="0" collapsed="false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</row>
    <row r="249" customFormat="false" ht="15.75" hidden="false" customHeight="true" outlineLevel="0" collapsed="false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</row>
    <row r="250" customFormat="false" ht="15.75" hidden="false" customHeight="true" outlineLevel="0" collapsed="false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</row>
    <row r="251" customFormat="false" ht="15.75" hidden="false" customHeight="true" outlineLevel="0" collapsed="false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</row>
    <row r="252" customFormat="false" ht="15.75" hidden="false" customHeight="true" outlineLevel="0" collapsed="false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</row>
    <row r="253" customFormat="false" ht="15.75" hidden="false" customHeight="true" outlineLevel="0" collapsed="false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</row>
    <row r="254" customFormat="false" ht="15.75" hidden="false" customHeight="true" outlineLevel="0" collapsed="false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</row>
    <row r="255" customFormat="false" ht="15.75" hidden="false" customHeight="true" outlineLevel="0" collapsed="false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</row>
    <row r="256" customFormat="false" ht="15.75" hidden="false" customHeight="true" outlineLevel="0" collapsed="false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</row>
    <row r="257" customFormat="false" ht="15.75" hidden="false" customHeight="true" outlineLevel="0" collapsed="false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</row>
    <row r="258" customFormat="false" ht="15.75" hidden="false" customHeight="true" outlineLevel="0" collapsed="false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</row>
    <row r="259" customFormat="false" ht="15.75" hidden="false" customHeight="true" outlineLevel="0" collapsed="false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</row>
    <row r="260" customFormat="false" ht="15.75" hidden="false" customHeight="true" outlineLevel="0" collapsed="false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</row>
    <row r="261" customFormat="false" ht="15.75" hidden="false" customHeight="true" outlineLevel="0" collapsed="false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</row>
    <row r="262" customFormat="false" ht="15.75" hidden="false" customHeight="true" outlineLevel="0" collapsed="false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</row>
    <row r="263" customFormat="false" ht="15.75" hidden="false" customHeight="true" outlineLevel="0" collapsed="false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</row>
    <row r="264" customFormat="false" ht="15.75" hidden="false" customHeight="true" outlineLevel="0" collapsed="false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</row>
    <row r="265" customFormat="false" ht="15.75" hidden="false" customHeight="true" outlineLevel="0" collapsed="false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</row>
    <row r="266" customFormat="false" ht="15.75" hidden="false" customHeight="true" outlineLevel="0" collapsed="false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</row>
    <row r="267" customFormat="false" ht="15.75" hidden="false" customHeight="true" outlineLevel="0" collapsed="false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</row>
    <row r="268" customFormat="false" ht="15.75" hidden="false" customHeight="true" outlineLevel="0" collapsed="false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</row>
    <row r="269" customFormat="false" ht="15.75" hidden="false" customHeight="true" outlineLevel="0" collapsed="false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</row>
    <row r="270" customFormat="false" ht="15.75" hidden="false" customHeight="true" outlineLevel="0" collapsed="false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</row>
    <row r="271" customFormat="false" ht="15.75" hidden="false" customHeight="true" outlineLevel="0" collapsed="false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</row>
    <row r="272" customFormat="false" ht="15.75" hidden="false" customHeight="true" outlineLevel="0" collapsed="false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</row>
    <row r="273" customFormat="false" ht="15.75" hidden="false" customHeight="true" outlineLevel="0" collapsed="false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</row>
    <row r="274" customFormat="false" ht="15.75" hidden="false" customHeight="true" outlineLevel="0" collapsed="false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</row>
    <row r="275" customFormat="false" ht="15.75" hidden="false" customHeight="true" outlineLevel="0" collapsed="false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</row>
    <row r="276" customFormat="false" ht="15.75" hidden="false" customHeight="true" outlineLevel="0" collapsed="false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</row>
    <row r="277" customFormat="false" ht="15.75" hidden="false" customHeight="true" outlineLevel="0" collapsed="false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</row>
    <row r="278" customFormat="false" ht="15.75" hidden="false" customHeight="true" outlineLevel="0" collapsed="false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</row>
    <row r="279" customFormat="false" ht="15.75" hidden="false" customHeight="true" outlineLevel="0" collapsed="false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</row>
    <row r="280" customFormat="false" ht="15.75" hidden="false" customHeight="true" outlineLevel="0" collapsed="false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</row>
    <row r="281" customFormat="false" ht="15.75" hidden="false" customHeight="true" outlineLevel="0" collapsed="false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</row>
    <row r="282" customFormat="false" ht="15.75" hidden="false" customHeight="true" outlineLevel="0" collapsed="false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</row>
    <row r="283" customFormat="false" ht="15.75" hidden="false" customHeight="true" outlineLevel="0" collapsed="false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</row>
    <row r="284" customFormat="false" ht="15.75" hidden="false" customHeight="true" outlineLevel="0" collapsed="false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</row>
    <row r="285" customFormat="false" ht="15.75" hidden="false" customHeight="true" outlineLevel="0" collapsed="false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</row>
    <row r="286" customFormat="false" ht="15.75" hidden="false" customHeight="true" outlineLevel="0" collapsed="false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</row>
    <row r="287" customFormat="false" ht="15.75" hidden="false" customHeight="true" outlineLevel="0" collapsed="false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</row>
    <row r="288" customFormat="false" ht="15.75" hidden="false" customHeight="true" outlineLevel="0" collapsed="false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</row>
    <row r="289" customFormat="false" ht="15.75" hidden="false" customHeight="true" outlineLevel="0" collapsed="false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</row>
    <row r="290" customFormat="false" ht="15.75" hidden="false" customHeight="true" outlineLevel="0" collapsed="false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</row>
    <row r="291" customFormat="false" ht="15.75" hidden="false" customHeight="true" outlineLevel="0" collapsed="false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</row>
    <row r="292" customFormat="false" ht="15.75" hidden="false" customHeight="true" outlineLevel="0" collapsed="false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</row>
    <row r="293" customFormat="false" ht="15.75" hidden="false" customHeight="true" outlineLevel="0" collapsed="false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</row>
    <row r="294" customFormat="false" ht="15.75" hidden="false" customHeight="true" outlineLevel="0" collapsed="false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</row>
    <row r="295" customFormat="false" ht="15.75" hidden="false" customHeight="true" outlineLevel="0" collapsed="false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</row>
    <row r="296" customFormat="false" ht="15.75" hidden="false" customHeight="true" outlineLevel="0" collapsed="false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</row>
    <row r="297" customFormat="false" ht="15.75" hidden="false" customHeight="true" outlineLevel="0" collapsed="false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</row>
    <row r="298" customFormat="false" ht="15.75" hidden="false" customHeight="true" outlineLevel="0" collapsed="false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</row>
    <row r="299" customFormat="false" ht="15.75" hidden="false" customHeight="true" outlineLevel="0" collapsed="false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</row>
    <row r="300" customFormat="false" ht="15.75" hidden="false" customHeight="true" outlineLevel="0" collapsed="false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</row>
    <row r="301" customFormat="false" ht="15.75" hidden="false" customHeight="true" outlineLevel="0" collapsed="false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</row>
    <row r="302" customFormat="false" ht="15.75" hidden="false" customHeight="true" outlineLevel="0" collapsed="false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</row>
    <row r="303" customFormat="false" ht="15.75" hidden="false" customHeight="true" outlineLevel="0" collapsed="false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</row>
    <row r="304" customFormat="false" ht="15.75" hidden="false" customHeight="true" outlineLevel="0" collapsed="false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</row>
    <row r="305" customFormat="false" ht="15.75" hidden="false" customHeight="true" outlineLevel="0" collapsed="false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</row>
    <row r="306" customFormat="false" ht="15.75" hidden="false" customHeight="true" outlineLevel="0" collapsed="false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</row>
    <row r="307" customFormat="false" ht="15.75" hidden="false" customHeight="true" outlineLevel="0" collapsed="false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</row>
    <row r="308" customFormat="false" ht="15.75" hidden="false" customHeight="true" outlineLevel="0" collapsed="false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</row>
    <row r="309" customFormat="false" ht="15.75" hidden="false" customHeight="true" outlineLevel="0" collapsed="false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</row>
    <row r="310" customFormat="false" ht="15.75" hidden="false" customHeight="true" outlineLevel="0" collapsed="false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</row>
    <row r="311" customFormat="false" ht="15.75" hidden="false" customHeight="true" outlineLevel="0" collapsed="false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</row>
    <row r="312" customFormat="false" ht="15.75" hidden="false" customHeight="true" outlineLevel="0" collapsed="false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</row>
    <row r="313" customFormat="false" ht="15.75" hidden="false" customHeight="true" outlineLevel="0" collapsed="false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</row>
    <row r="314" customFormat="false" ht="15.75" hidden="false" customHeight="true" outlineLevel="0" collapsed="false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</row>
    <row r="315" customFormat="false" ht="15.75" hidden="false" customHeight="true" outlineLevel="0" collapsed="false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</row>
    <row r="316" customFormat="false" ht="15.75" hidden="false" customHeight="true" outlineLevel="0" collapsed="false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</row>
    <row r="317" customFormat="false" ht="15.75" hidden="false" customHeight="true" outlineLevel="0" collapsed="false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</row>
    <row r="318" customFormat="false" ht="15.75" hidden="false" customHeight="true" outlineLevel="0" collapsed="false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</row>
    <row r="319" customFormat="false" ht="15.75" hidden="false" customHeight="true" outlineLevel="0" collapsed="false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</row>
    <row r="320" customFormat="false" ht="15.75" hidden="false" customHeight="true" outlineLevel="0" collapsed="false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</row>
    <row r="321" customFormat="false" ht="15.75" hidden="false" customHeight="true" outlineLevel="0" collapsed="false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</row>
    <row r="322" customFormat="false" ht="15.75" hidden="false" customHeight="true" outlineLevel="0" collapsed="false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</row>
    <row r="323" customFormat="false" ht="15.75" hidden="false" customHeight="true" outlineLevel="0" collapsed="false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</row>
    <row r="324" customFormat="false" ht="15.75" hidden="false" customHeight="true" outlineLevel="0" collapsed="false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</row>
    <row r="325" customFormat="false" ht="15.75" hidden="false" customHeight="true" outlineLevel="0" collapsed="false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</row>
    <row r="326" customFormat="false" ht="15.75" hidden="false" customHeight="true" outlineLevel="0" collapsed="false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</row>
    <row r="327" customFormat="false" ht="15.75" hidden="false" customHeight="true" outlineLevel="0" collapsed="false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</row>
    <row r="328" customFormat="false" ht="15.75" hidden="false" customHeight="true" outlineLevel="0" collapsed="false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</row>
    <row r="329" customFormat="false" ht="15.75" hidden="false" customHeight="true" outlineLevel="0" collapsed="false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</row>
    <row r="330" customFormat="false" ht="15.75" hidden="false" customHeight="true" outlineLevel="0" collapsed="false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</row>
    <row r="331" customFormat="false" ht="15.75" hidden="false" customHeight="true" outlineLevel="0" collapsed="false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</row>
    <row r="332" customFormat="false" ht="15.75" hidden="false" customHeight="true" outlineLevel="0" collapsed="false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</row>
    <row r="333" customFormat="false" ht="15.75" hidden="false" customHeight="true" outlineLevel="0" collapsed="false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</row>
    <row r="334" customFormat="false" ht="15.75" hidden="false" customHeight="true" outlineLevel="0" collapsed="false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</row>
    <row r="335" customFormat="false" ht="15.75" hidden="false" customHeight="true" outlineLevel="0" collapsed="false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</row>
    <row r="336" customFormat="false" ht="15.75" hidden="false" customHeight="true" outlineLevel="0" collapsed="false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</row>
    <row r="337" customFormat="false" ht="15.75" hidden="false" customHeight="true" outlineLevel="0" collapsed="false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</row>
    <row r="338" customFormat="false" ht="15.75" hidden="false" customHeight="true" outlineLevel="0" collapsed="false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</row>
    <row r="339" customFormat="false" ht="15.75" hidden="false" customHeight="true" outlineLevel="0" collapsed="false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</row>
    <row r="340" customFormat="false" ht="15.75" hidden="false" customHeight="true" outlineLevel="0" collapsed="false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</row>
    <row r="341" customFormat="false" ht="15.75" hidden="false" customHeight="true" outlineLevel="0" collapsed="false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</row>
    <row r="342" customFormat="false" ht="15.75" hidden="false" customHeight="true" outlineLevel="0" collapsed="false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</row>
    <row r="343" customFormat="false" ht="15.75" hidden="false" customHeight="true" outlineLevel="0" collapsed="false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</row>
    <row r="344" customFormat="false" ht="15.75" hidden="false" customHeight="true" outlineLevel="0" collapsed="false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</row>
    <row r="345" customFormat="false" ht="15.75" hidden="false" customHeight="true" outlineLevel="0" collapsed="false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</row>
    <row r="346" customFormat="false" ht="15.75" hidden="false" customHeight="true" outlineLevel="0" collapsed="false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</row>
    <row r="347" customFormat="false" ht="15.75" hidden="false" customHeight="true" outlineLevel="0" collapsed="false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</row>
    <row r="348" customFormat="false" ht="15.75" hidden="false" customHeight="true" outlineLevel="0" collapsed="false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</row>
    <row r="349" customFormat="false" ht="15.75" hidden="false" customHeight="true" outlineLevel="0" collapsed="false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</row>
    <row r="350" customFormat="false" ht="15.75" hidden="false" customHeight="true" outlineLevel="0" collapsed="false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</row>
    <row r="351" customFormat="false" ht="15.75" hidden="false" customHeight="true" outlineLevel="0" collapsed="false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</row>
    <row r="352" customFormat="false" ht="15.75" hidden="false" customHeight="true" outlineLevel="0" collapsed="false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</row>
    <row r="353" customFormat="false" ht="15.75" hidden="false" customHeight="true" outlineLevel="0" collapsed="false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</row>
    <row r="354" customFormat="false" ht="15.75" hidden="false" customHeight="true" outlineLevel="0" collapsed="false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</row>
    <row r="355" customFormat="false" ht="15.75" hidden="false" customHeight="true" outlineLevel="0" collapsed="false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</row>
    <row r="356" customFormat="false" ht="15.75" hidden="false" customHeight="true" outlineLevel="0" collapsed="false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</row>
    <row r="357" customFormat="false" ht="15.75" hidden="false" customHeight="true" outlineLevel="0" collapsed="false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</row>
    <row r="358" customFormat="false" ht="15.75" hidden="false" customHeight="true" outlineLevel="0" collapsed="false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</row>
    <row r="359" customFormat="false" ht="15.75" hidden="false" customHeight="true" outlineLevel="0" collapsed="false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</row>
    <row r="360" customFormat="false" ht="15.75" hidden="false" customHeight="true" outlineLevel="0" collapsed="false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</row>
    <row r="361" customFormat="false" ht="15.75" hidden="false" customHeight="true" outlineLevel="0" collapsed="false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</row>
    <row r="362" customFormat="false" ht="15.75" hidden="false" customHeight="true" outlineLevel="0" collapsed="false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</row>
    <row r="363" customFormat="false" ht="15.75" hidden="false" customHeight="true" outlineLevel="0" collapsed="false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</row>
    <row r="364" customFormat="false" ht="15.75" hidden="false" customHeight="true" outlineLevel="0" collapsed="false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</row>
    <row r="365" customFormat="false" ht="15.75" hidden="false" customHeight="true" outlineLevel="0" collapsed="false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</row>
    <row r="366" customFormat="false" ht="15.75" hidden="false" customHeight="true" outlineLevel="0" collapsed="false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</row>
    <row r="367" customFormat="false" ht="15.75" hidden="false" customHeight="true" outlineLevel="0" collapsed="false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</row>
    <row r="368" customFormat="false" ht="15.75" hidden="false" customHeight="true" outlineLevel="0" collapsed="false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</row>
    <row r="369" customFormat="false" ht="15.75" hidden="false" customHeight="true" outlineLevel="0" collapsed="false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</row>
    <row r="370" customFormat="false" ht="15.75" hidden="false" customHeight="true" outlineLevel="0" collapsed="false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</row>
    <row r="371" customFormat="false" ht="15.75" hidden="false" customHeight="true" outlineLevel="0" collapsed="false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</row>
    <row r="372" customFormat="false" ht="15.75" hidden="false" customHeight="true" outlineLevel="0" collapsed="false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</row>
    <row r="373" customFormat="false" ht="15.75" hidden="false" customHeight="true" outlineLevel="0" collapsed="false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</row>
    <row r="374" customFormat="false" ht="15.75" hidden="false" customHeight="true" outlineLevel="0" collapsed="false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</row>
    <row r="375" customFormat="false" ht="15.75" hidden="false" customHeight="true" outlineLevel="0" collapsed="false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</row>
    <row r="376" customFormat="false" ht="15.75" hidden="false" customHeight="true" outlineLevel="0" collapsed="false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</row>
    <row r="377" customFormat="false" ht="15.75" hidden="false" customHeight="true" outlineLevel="0" collapsed="false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</row>
    <row r="378" customFormat="false" ht="15.75" hidden="false" customHeight="true" outlineLevel="0" collapsed="false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</row>
    <row r="379" customFormat="false" ht="15.75" hidden="false" customHeight="true" outlineLevel="0" collapsed="false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</row>
    <row r="380" customFormat="false" ht="15.75" hidden="false" customHeight="true" outlineLevel="0" collapsed="false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</row>
    <row r="381" customFormat="false" ht="15.75" hidden="false" customHeight="true" outlineLevel="0" collapsed="false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</row>
    <row r="382" customFormat="false" ht="15.75" hidden="false" customHeight="true" outlineLevel="0" collapsed="false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</row>
    <row r="383" customFormat="false" ht="15.75" hidden="false" customHeight="true" outlineLevel="0" collapsed="false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</row>
    <row r="384" customFormat="false" ht="15.75" hidden="false" customHeight="true" outlineLevel="0" collapsed="false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</row>
    <row r="385" customFormat="false" ht="15.75" hidden="false" customHeight="true" outlineLevel="0" collapsed="false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</row>
    <row r="386" customFormat="false" ht="15.75" hidden="false" customHeight="true" outlineLevel="0" collapsed="false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</row>
    <row r="387" customFormat="false" ht="15.75" hidden="false" customHeight="true" outlineLevel="0" collapsed="false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</row>
    <row r="388" customFormat="false" ht="15.75" hidden="false" customHeight="true" outlineLevel="0" collapsed="false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</row>
    <row r="389" customFormat="false" ht="15.75" hidden="false" customHeight="true" outlineLevel="0" collapsed="false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</row>
    <row r="390" customFormat="false" ht="15.75" hidden="false" customHeight="true" outlineLevel="0" collapsed="false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</row>
    <row r="391" customFormat="false" ht="15.75" hidden="false" customHeight="true" outlineLevel="0" collapsed="false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</row>
    <row r="392" customFormat="false" ht="15.75" hidden="false" customHeight="true" outlineLevel="0" collapsed="false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</row>
    <row r="393" customFormat="false" ht="15.75" hidden="false" customHeight="true" outlineLevel="0" collapsed="false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</row>
    <row r="394" customFormat="false" ht="15.75" hidden="false" customHeight="true" outlineLevel="0" collapsed="false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</row>
    <row r="395" customFormat="false" ht="15.75" hidden="false" customHeight="true" outlineLevel="0" collapsed="false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</row>
    <row r="396" customFormat="false" ht="15.75" hidden="false" customHeight="true" outlineLevel="0" collapsed="false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</row>
    <row r="397" customFormat="false" ht="15.75" hidden="false" customHeight="true" outlineLevel="0" collapsed="false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</row>
    <row r="398" customFormat="false" ht="15.75" hidden="false" customHeight="true" outlineLevel="0" collapsed="false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</row>
    <row r="399" customFormat="false" ht="15.75" hidden="false" customHeight="true" outlineLevel="0" collapsed="false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</row>
    <row r="400" customFormat="false" ht="15.75" hidden="false" customHeight="true" outlineLevel="0" collapsed="false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</row>
    <row r="401" customFormat="false" ht="15.75" hidden="false" customHeight="true" outlineLevel="0" collapsed="false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</row>
    <row r="402" customFormat="false" ht="15.75" hidden="false" customHeight="true" outlineLevel="0" collapsed="false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</row>
    <row r="403" customFormat="false" ht="15.75" hidden="false" customHeight="true" outlineLevel="0" collapsed="false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</row>
    <row r="404" customFormat="false" ht="15.75" hidden="false" customHeight="true" outlineLevel="0" collapsed="false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</row>
    <row r="405" customFormat="false" ht="15.75" hidden="false" customHeight="true" outlineLevel="0" collapsed="false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</row>
    <row r="406" customFormat="false" ht="15.75" hidden="false" customHeight="true" outlineLevel="0" collapsed="false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</row>
    <row r="407" customFormat="false" ht="15.75" hidden="false" customHeight="true" outlineLevel="0" collapsed="false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</row>
    <row r="408" customFormat="false" ht="15.75" hidden="false" customHeight="true" outlineLevel="0" collapsed="false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</row>
    <row r="409" customFormat="false" ht="15.75" hidden="false" customHeight="true" outlineLevel="0" collapsed="false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</row>
    <row r="410" customFormat="false" ht="15.75" hidden="false" customHeight="true" outlineLevel="0" collapsed="false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</row>
    <row r="411" customFormat="false" ht="15.75" hidden="false" customHeight="true" outlineLevel="0" collapsed="false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</row>
    <row r="412" customFormat="false" ht="15.75" hidden="false" customHeight="true" outlineLevel="0" collapsed="false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</row>
    <row r="413" customFormat="false" ht="15.75" hidden="false" customHeight="true" outlineLevel="0" collapsed="false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</row>
    <row r="414" customFormat="false" ht="15.75" hidden="false" customHeight="true" outlineLevel="0" collapsed="false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</row>
    <row r="415" customFormat="false" ht="15.75" hidden="false" customHeight="true" outlineLevel="0" collapsed="false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</row>
    <row r="416" customFormat="false" ht="15.75" hidden="false" customHeight="true" outlineLevel="0" collapsed="false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</row>
    <row r="417" customFormat="false" ht="15.75" hidden="false" customHeight="true" outlineLevel="0" collapsed="false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</row>
    <row r="418" customFormat="false" ht="15.75" hidden="false" customHeight="true" outlineLevel="0" collapsed="false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</row>
    <row r="419" customFormat="false" ht="15.75" hidden="false" customHeight="true" outlineLevel="0" collapsed="false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</row>
    <row r="420" customFormat="false" ht="15.75" hidden="false" customHeight="true" outlineLevel="0" collapsed="false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</row>
    <row r="421" customFormat="false" ht="15.75" hidden="false" customHeight="true" outlineLevel="0" collapsed="false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</row>
    <row r="422" customFormat="false" ht="15.75" hidden="false" customHeight="true" outlineLevel="0" collapsed="false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</row>
    <row r="423" customFormat="false" ht="15.75" hidden="false" customHeight="true" outlineLevel="0" collapsed="false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</row>
    <row r="424" customFormat="false" ht="15.75" hidden="false" customHeight="true" outlineLevel="0" collapsed="false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</row>
    <row r="425" customFormat="false" ht="15.75" hidden="false" customHeight="true" outlineLevel="0" collapsed="false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</row>
    <row r="426" customFormat="false" ht="15.75" hidden="false" customHeight="true" outlineLevel="0" collapsed="false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</row>
    <row r="427" customFormat="false" ht="15.75" hidden="false" customHeight="true" outlineLevel="0" collapsed="false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</row>
    <row r="428" customFormat="false" ht="15.75" hidden="false" customHeight="true" outlineLevel="0" collapsed="false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</row>
    <row r="429" customFormat="false" ht="15.75" hidden="false" customHeight="true" outlineLevel="0" collapsed="false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</row>
    <row r="430" customFormat="false" ht="15.75" hidden="false" customHeight="true" outlineLevel="0" collapsed="false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</row>
    <row r="431" customFormat="false" ht="15.75" hidden="false" customHeight="true" outlineLevel="0" collapsed="false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</row>
    <row r="432" customFormat="false" ht="15.75" hidden="false" customHeight="true" outlineLevel="0" collapsed="false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</row>
    <row r="433" customFormat="false" ht="15.75" hidden="false" customHeight="true" outlineLevel="0" collapsed="false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</row>
    <row r="434" customFormat="false" ht="15.75" hidden="false" customHeight="true" outlineLevel="0" collapsed="false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</row>
    <row r="435" customFormat="false" ht="15.75" hidden="false" customHeight="true" outlineLevel="0" collapsed="false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</row>
    <row r="436" customFormat="false" ht="15.75" hidden="false" customHeight="true" outlineLevel="0" collapsed="false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</row>
    <row r="437" customFormat="false" ht="15.75" hidden="false" customHeight="true" outlineLevel="0" collapsed="false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</row>
    <row r="438" customFormat="false" ht="15.75" hidden="false" customHeight="true" outlineLevel="0" collapsed="false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</row>
    <row r="439" customFormat="false" ht="15.75" hidden="false" customHeight="true" outlineLevel="0" collapsed="false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</row>
    <row r="440" customFormat="false" ht="15.75" hidden="false" customHeight="true" outlineLevel="0" collapsed="false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</row>
    <row r="441" customFormat="false" ht="15.75" hidden="false" customHeight="true" outlineLevel="0" collapsed="false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</row>
    <row r="442" customFormat="false" ht="15.75" hidden="false" customHeight="true" outlineLevel="0" collapsed="false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</row>
    <row r="443" customFormat="false" ht="15.75" hidden="false" customHeight="true" outlineLevel="0" collapsed="false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</row>
    <row r="444" customFormat="false" ht="15.75" hidden="false" customHeight="true" outlineLevel="0" collapsed="false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</row>
    <row r="445" customFormat="false" ht="15.75" hidden="false" customHeight="true" outlineLevel="0" collapsed="false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</row>
    <row r="446" customFormat="false" ht="15.75" hidden="false" customHeight="true" outlineLevel="0" collapsed="false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</row>
    <row r="447" customFormat="false" ht="15.75" hidden="false" customHeight="true" outlineLevel="0" collapsed="false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</row>
    <row r="448" customFormat="false" ht="15.75" hidden="false" customHeight="true" outlineLevel="0" collapsed="false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</row>
    <row r="449" customFormat="false" ht="15.75" hidden="false" customHeight="true" outlineLevel="0" collapsed="false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</row>
    <row r="450" customFormat="false" ht="15.75" hidden="false" customHeight="true" outlineLevel="0" collapsed="false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</row>
    <row r="451" customFormat="false" ht="15.75" hidden="false" customHeight="true" outlineLevel="0" collapsed="false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</row>
    <row r="452" customFormat="false" ht="15.75" hidden="false" customHeight="true" outlineLevel="0" collapsed="false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</row>
    <row r="453" customFormat="false" ht="15.75" hidden="false" customHeight="true" outlineLevel="0" collapsed="false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</row>
    <row r="454" customFormat="false" ht="15.75" hidden="false" customHeight="true" outlineLevel="0" collapsed="false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</row>
    <row r="455" customFormat="false" ht="15.75" hidden="false" customHeight="true" outlineLevel="0" collapsed="false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</row>
    <row r="456" customFormat="false" ht="15.75" hidden="false" customHeight="true" outlineLevel="0" collapsed="false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</row>
    <row r="457" customFormat="false" ht="15.75" hidden="false" customHeight="true" outlineLevel="0" collapsed="false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</row>
    <row r="458" customFormat="false" ht="15.75" hidden="false" customHeight="true" outlineLevel="0" collapsed="false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</row>
    <row r="459" customFormat="false" ht="15.75" hidden="false" customHeight="true" outlineLevel="0" collapsed="false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</row>
    <row r="460" customFormat="false" ht="15.75" hidden="false" customHeight="true" outlineLevel="0" collapsed="false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</row>
    <row r="461" customFormat="false" ht="15.75" hidden="false" customHeight="true" outlineLevel="0" collapsed="false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</row>
    <row r="462" customFormat="false" ht="15.75" hidden="false" customHeight="true" outlineLevel="0" collapsed="false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</row>
    <row r="463" customFormat="false" ht="15.75" hidden="false" customHeight="true" outlineLevel="0" collapsed="false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</row>
    <row r="464" customFormat="false" ht="15.75" hidden="false" customHeight="true" outlineLevel="0" collapsed="false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</row>
    <row r="465" customFormat="false" ht="15.75" hidden="false" customHeight="true" outlineLevel="0" collapsed="false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</row>
    <row r="466" customFormat="false" ht="15.75" hidden="false" customHeight="true" outlineLevel="0" collapsed="false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</row>
    <row r="467" customFormat="false" ht="15.75" hidden="false" customHeight="true" outlineLevel="0" collapsed="false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</row>
    <row r="468" customFormat="false" ht="15.75" hidden="false" customHeight="true" outlineLevel="0" collapsed="false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</row>
    <row r="469" customFormat="false" ht="15.75" hidden="false" customHeight="true" outlineLevel="0" collapsed="false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</row>
    <row r="470" customFormat="false" ht="15.75" hidden="false" customHeight="true" outlineLevel="0" collapsed="false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</row>
    <row r="471" customFormat="false" ht="15.75" hidden="false" customHeight="true" outlineLevel="0" collapsed="false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</row>
    <row r="472" customFormat="false" ht="15.75" hidden="false" customHeight="true" outlineLevel="0" collapsed="false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</row>
    <row r="473" customFormat="false" ht="15.75" hidden="false" customHeight="true" outlineLevel="0" collapsed="false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</row>
    <row r="474" customFormat="false" ht="15.75" hidden="false" customHeight="true" outlineLevel="0" collapsed="false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</row>
    <row r="475" customFormat="false" ht="15.75" hidden="false" customHeight="true" outlineLevel="0" collapsed="false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</row>
    <row r="476" customFormat="false" ht="15.75" hidden="false" customHeight="true" outlineLevel="0" collapsed="false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</row>
    <row r="477" customFormat="false" ht="15.75" hidden="false" customHeight="true" outlineLevel="0" collapsed="false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</row>
    <row r="478" customFormat="false" ht="15.75" hidden="false" customHeight="true" outlineLevel="0" collapsed="false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</row>
    <row r="479" customFormat="false" ht="15.75" hidden="false" customHeight="true" outlineLevel="0" collapsed="false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</row>
    <row r="480" customFormat="false" ht="15.75" hidden="false" customHeight="true" outlineLevel="0" collapsed="false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</row>
    <row r="481" customFormat="false" ht="15.75" hidden="false" customHeight="true" outlineLevel="0" collapsed="false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</row>
    <row r="482" customFormat="false" ht="15.75" hidden="false" customHeight="true" outlineLevel="0" collapsed="false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</row>
    <row r="483" customFormat="false" ht="15.75" hidden="false" customHeight="true" outlineLevel="0" collapsed="false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</row>
    <row r="484" customFormat="false" ht="15.75" hidden="false" customHeight="true" outlineLevel="0" collapsed="false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</row>
    <row r="485" customFormat="false" ht="15.75" hidden="false" customHeight="true" outlineLevel="0" collapsed="false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</row>
    <row r="486" customFormat="false" ht="15.75" hidden="false" customHeight="true" outlineLevel="0" collapsed="false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</row>
    <row r="487" customFormat="false" ht="15.75" hidden="false" customHeight="true" outlineLevel="0" collapsed="false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</row>
    <row r="488" customFormat="false" ht="15.75" hidden="false" customHeight="true" outlineLevel="0" collapsed="false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</row>
    <row r="489" customFormat="false" ht="15.75" hidden="false" customHeight="true" outlineLevel="0" collapsed="false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</row>
    <row r="490" customFormat="false" ht="15.75" hidden="false" customHeight="true" outlineLevel="0" collapsed="false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</row>
    <row r="491" customFormat="false" ht="15.75" hidden="false" customHeight="true" outlineLevel="0" collapsed="false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</row>
    <row r="492" customFormat="false" ht="15.75" hidden="false" customHeight="true" outlineLevel="0" collapsed="false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</row>
    <row r="493" customFormat="false" ht="15.75" hidden="false" customHeight="true" outlineLevel="0" collapsed="false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</row>
    <row r="494" customFormat="false" ht="15.75" hidden="false" customHeight="true" outlineLevel="0" collapsed="false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</row>
    <row r="495" customFormat="false" ht="15.75" hidden="false" customHeight="true" outlineLevel="0" collapsed="false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</row>
    <row r="496" customFormat="false" ht="15.75" hidden="false" customHeight="true" outlineLevel="0" collapsed="false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</row>
    <row r="497" customFormat="false" ht="15.75" hidden="false" customHeight="true" outlineLevel="0" collapsed="false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</row>
    <row r="498" customFormat="false" ht="15.75" hidden="false" customHeight="true" outlineLevel="0" collapsed="false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</row>
    <row r="499" customFormat="false" ht="15.75" hidden="false" customHeight="true" outlineLevel="0" collapsed="false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</row>
    <row r="500" customFormat="false" ht="15.75" hidden="false" customHeight="true" outlineLevel="0" collapsed="false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</row>
    <row r="501" customFormat="false" ht="15.75" hidden="false" customHeight="true" outlineLevel="0" collapsed="false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</row>
    <row r="502" customFormat="false" ht="15.75" hidden="false" customHeight="true" outlineLevel="0" collapsed="false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</row>
    <row r="503" customFormat="false" ht="15.75" hidden="false" customHeight="true" outlineLevel="0" collapsed="false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</row>
    <row r="504" customFormat="false" ht="15.75" hidden="false" customHeight="true" outlineLevel="0" collapsed="false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</row>
    <row r="505" customFormat="false" ht="15.75" hidden="false" customHeight="true" outlineLevel="0" collapsed="false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</row>
    <row r="506" customFormat="false" ht="15.75" hidden="false" customHeight="true" outlineLevel="0" collapsed="false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</row>
    <row r="507" customFormat="false" ht="15.75" hidden="false" customHeight="true" outlineLevel="0" collapsed="false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</row>
    <row r="508" customFormat="false" ht="15.75" hidden="false" customHeight="true" outlineLevel="0" collapsed="false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</row>
    <row r="509" customFormat="false" ht="15.75" hidden="false" customHeight="true" outlineLevel="0" collapsed="false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</row>
    <row r="510" customFormat="false" ht="15.75" hidden="false" customHeight="true" outlineLevel="0" collapsed="false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</row>
    <row r="511" customFormat="false" ht="15.75" hidden="false" customHeight="true" outlineLevel="0" collapsed="false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</row>
    <row r="512" customFormat="false" ht="15.75" hidden="false" customHeight="true" outlineLevel="0" collapsed="false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</row>
    <row r="513" customFormat="false" ht="15.75" hidden="false" customHeight="true" outlineLevel="0" collapsed="false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</row>
    <row r="514" customFormat="false" ht="15.75" hidden="false" customHeight="true" outlineLevel="0" collapsed="false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</row>
    <row r="515" customFormat="false" ht="15.75" hidden="false" customHeight="true" outlineLevel="0" collapsed="false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</row>
    <row r="516" customFormat="false" ht="15.75" hidden="false" customHeight="true" outlineLevel="0" collapsed="false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</row>
    <row r="517" customFormat="false" ht="15.75" hidden="false" customHeight="true" outlineLevel="0" collapsed="false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</row>
    <row r="518" customFormat="false" ht="15.75" hidden="false" customHeight="true" outlineLevel="0" collapsed="false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</row>
    <row r="519" customFormat="false" ht="15.75" hidden="false" customHeight="true" outlineLevel="0" collapsed="false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</row>
    <row r="520" customFormat="false" ht="15.75" hidden="false" customHeight="true" outlineLevel="0" collapsed="false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</row>
    <row r="521" customFormat="false" ht="15.75" hidden="false" customHeight="true" outlineLevel="0" collapsed="false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</row>
    <row r="522" customFormat="false" ht="15.75" hidden="false" customHeight="true" outlineLevel="0" collapsed="false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</row>
    <row r="523" customFormat="false" ht="15.75" hidden="false" customHeight="true" outlineLevel="0" collapsed="false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</row>
    <row r="524" customFormat="false" ht="15.75" hidden="false" customHeight="true" outlineLevel="0" collapsed="false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</row>
    <row r="525" customFormat="false" ht="15.75" hidden="false" customHeight="true" outlineLevel="0" collapsed="false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</row>
    <row r="526" customFormat="false" ht="15.75" hidden="false" customHeight="true" outlineLevel="0" collapsed="false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</row>
    <row r="527" customFormat="false" ht="15.75" hidden="false" customHeight="true" outlineLevel="0" collapsed="false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</row>
    <row r="528" customFormat="false" ht="15.75" hidden="false" customHeight="true" outlineLevel="0" collapsed="false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</row>
    <row r="529" customFormat="false" ht="15.75" hidden="false" customHeight="true" outlineLevel="0" collapsed="false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</row>
    <row r="530" customFormat="false" ht="15.75" hidden="false" customHeight="true" outlineLevel="0" collapsed="false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</row>
    <row r="531" customFormat="false" ht="15.75" hidden="false" customHeight="true" outlineLevel="0" collapsed="false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</row>
    <row r="532" customFormat="false" ht="15.75" hidden="false" customHeight="true" outlineLevel="0" collapsed="false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</row>
    <row r="533" customFormat="false" ht="15.75" hidden="false" customHeight="true" outlineLevel="0" collapsed="false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</row>
    <row r="534" customFormat="false" ht="15.75" hidden="false" customHeight="true" outlineLevel="0" collapsed="false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</row>
    <row r="535" customFormat="false" ht="15.75" hidden="false" customHeight="true" outlineLevel="0" collapsed="false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</row>
    <row r="536" customFormat="false" ht="15.75" hidden="false" customHeight="true" outlineLevel="0" collapsed="false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</row>
    <row r="537" customFormat="false" ht="15.75" hidden="false" customHeight="true" outlineLevel="0" collapsed="false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</row>
    <row r="538" customFormat="false" ht="15.75" hidden="false" customHeight="true" outlineLevel="0" collapsed="false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</row>
    <row r="539" customFormat="false" ht="15.75" hidden="false" customHeight="true" outlineLevel="0" collapsed="false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</row>
    <row r="540" customFormat="false" ht="15.75" hidden="false" customHeight="true" outlineLevel="0" collapsed="false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</row>
    <row r="541" customFormat="false" ht="15.75" hidden="false" customHeight="true" outlineLevel="0" collapsed="false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</row>
    <row r="542" customFormat="false" ht="15.75" hidden="false" customHeight="true" outlineLevel="0" collapsed="false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</row>
    <row r="543" customFormat="false" ht="15.75" hidden="false" customHeight="true" outlineLevel="0" collapsed="false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</row>
    <row r="544" customFormat="false" ht="15.75" hidden="false" customHeight="true" outlineLevel="0" collapsed="false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</row>
    <row r="545" customFormat="false" ht="15.75" hidden="false" customHeight="true" outlineLevel="0" collapsed="false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</row>
    <row r="546" customFormat="false" ht="15.75" hidden="false" customHeight="true" outlineLevel="0" collapsed="false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</row>
    <row r="547" customFormat="false" ht="15.75" hidden="false" customHeight="true" outlineLevel="0" collapsed="false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</row>
    <row r="548" customFormat="false" ht="15.75" hidden="false" customHeight="true" outlineLevel="0" collapsed="false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</row>
    <row r="549" customFormat="false" ht="15.75" hidden="false" customHeight="true" outlineLevel="0" collapsed="false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</row>
    <row r="550" customFormat="false" ht="15.75" hidden="false" customHeight="true" outlineLevel="0" collapsed="false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</row>
    <row r="551" customFormat="false" ht="15.75" hidden="false" customHeight="true" outlineLevel="0" collapsed="false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</row>
    <row r="552" customFormat="false" ht="15.75" hidden="false" customHeight="true" outlineLevel="0" collapsed="false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</row>
    <row r="553" customFormat="false" ht="15.75" hidden="false" customHeight="true" outlineLevel="0" collapsed="false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</row>
    <row r="554" customFormat="false" ht="15.75" hidden="false" customHeight="true" outlineLevel="0" collapsed="false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</row>
    <row r="555" customFormat="false" ht="15.75" hidden="false" customHeight="true" outlineLevel="0" collapsed="false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</row>
    <row r="556" customFormat="false" ht="15.75" hidden="false" customHeight="true" outlineLevel="0" collapsed="false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</row>
    <row r="557" customFormat="false" ht="15.75" hidden="false" customHeight="true" outlineLevel="0" collapsed="false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</row>
    <row r="558" customFormat="false" ht="15.75" hidden="false" customHeight="true" outlineLevel="0" collapsed="false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</row>
    <row r="559" customFormat="false" ht="15.75" hidden="false" customHeight="true" outlineLevel="0" collapsed="false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</row>
    <row r="560" customFormat="false" ht="15.75" hidden="false" customHeight="true" outlineLevel="0" collapsed="false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</row>
    <row r="561" customFormat="false" ht="15.75" hidden="false" customHeight="true" outlineLevel="0" collapsed="false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</row>
    <row r="562" customFormat="false" ht="15.75" hidden="false" customHeight="true" outlineLevel="0" collapsed="false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</row>
    <row r="563" customFormat="false" ht="15.75" hidden="false" customHeight="true" outlineLevel="0" collapsed="false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</row>
    <row r="564" customFormat="false" ht="15.75" hidden="false" customHeight="true" outlineLevel="0" collapsed="false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</row>
    <row r="565" customFormat="false" ht="15.75" hidden="false" customHeight="true" outlineLevel="0" collapsed="false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</row>
    <row r="566" customFormat="false" ht="15.75" hidden="false" customHeight="true" outlineLevel="0" collapsed="false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</row>
    <row r="567" customFormat="false" ht="15.75" hidden="false" customHeight="true" outlineLevel="0" collapsed="false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</row>
    <row r="568" customFormat="false" ht="15.75" hidden="false" customHeight="true" outlineLevel="0" collapsed="false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</row>
    <row r="569" customFormat="false" ht="15.75" hidden="false" customHeight="true" outlineLevel="0" collapsed="false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</row>
    <row r="570" customFormat="false" ht="15.75" hidden="false" customHeight="true" outlineLevel="0" collapsed="false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</row>
    <row r="571" customFormat="false" ht="15.75" hidden="false" customHeight="true" outlineLevel="0" collapsed="false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</row>
    <row r="572" customFormat="false" ht="15.75" hidden="false" customHeight="true" outlineLevel="0" collapsed="false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</row>
    <row r="573" customFormat="false" ht="15.75" hidden="false" customHeight="true" outlineLevel="0" collapsed="false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</row>
    <row r="574" customFormat="false" ht="15.75" hidden="false" customHeight="true" outlineLevel="0" collapsed="false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</row>
    <row r="575" customFormat="false" ht="15.75" hidden="false" customHeight="true" outlineLevel="0" collapsed="false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</row>
    <row r="576" customFormat="false" ht="15.75" hidden="false" customHeight="true" outlineLevel="0" collapsed="false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</row>
    <row r="577" customFormat="false" ht="15.75" hidden="false" customHeight="true" outlineLevel="0" collapsed="false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</row>
    <row r="578" customFormat="false" ht="15.75" hidden="false" customHeight="true" outlineLevel="0" collapsed="false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</row>
    <row r="579" customFormat="false" ht="15.75" hidden="false" customHeight="true" outlineLevel="0" collapsed="false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</row>
    <row r="580" customFormat="false" ht="15.75" hidden="false" customHeight="true" outlineLevel="0" collapsed="false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</row>
    <row r="581" customFormat="false" ht="15.75" hidden="false" customHeight="true" outlineLevel="0" collapsed="false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</row>
    <row r="582" customFormat="false" ht="15.75" hidden="false" customHeight="true" outlineLevel="0" collapsed="false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</row>
    <row r="583" customFormat="false" ht="15.75" hidden="false" customHeight="true" outlineLevel="0" collapsed="false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</row>
    <row r="584" customFormat="false" ht="15.75" hidden="false" customHeight="true" outlineLevel="0" collapsed="false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</row>
    <row r="585" customFormat="false" ht="15.75" hidden="false" customHeight="true" outlineLevel="0" collapsed="false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</row>
    <row r="586" customFormat="false" ht="15.75" hidden="false" customHeight="true" outlineLevel="0" collapsed="false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</row>
    <row r="587" customFormat="false" ht="15.75" hidden="false" customHeight="true" outlineLevel="0" collapsed="false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</row>
    <row r="588" customFormat="false" ht="15.75" hidden="false" customHeight="true" outlineLevel="0" collapsed="false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</row>
    <row r="589" customFormat="false" ht="15.75" hidden="false" customHeight="true" outlineLevel="0" collapsed="false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</row>
    <row r="590" customFormat="false" ht="15.75" hidden="false" customHeight="true" outlineLevel="0" collapsed="false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</row>
    <row r="591" customFormat="false" ht="15.75" hidden="false" customHeight="true" outlineLevel="0" collapsed="false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</row>
    <row r="592" customFormat="false" ht="15.75" hidden="false" customHeight="true" outlineLevel="0" collapsed="false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</row>
    <row r="593" customFormat="false" ht="15.75" hidden="false" customHeight="true" outlineLevel="0" collapsed="false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</row>
    <row r="594" customFormat="false" ht="15.75" hidden="false" customHeight="true" outlineLevel="0" collapsed="false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</row>
    <row r="595" customFormat="false" ht="15.75" hidden="false" customHeight="true" outlineLevel="0" collapsed="false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</row>
    <row r="596" customFormat="false" ht="15.75" hidden="false" customHeight="true" outlineLevel="0" collapsed="false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</row>
    <row r="597" customFormat="false" ht="15.75" hidden="false" customHeight="true" outlineLevel="0" collapsed="false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</row>
    <row r="598" customFormat="false" ht="15.75" hidden="false" customHeight="true" outlineLevel="0" collapsed="false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</row>
    <row r="599" customFormat="false" ht="15.75" hidden="false" customHeight="true" outlineLevel="0" collapsed="false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</row>
    <row r="600" customFormat="false" ht="15.75" hidden="false" customHeight="true" outlineLevel="0" collapsed="false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</row>
    <row r="601" customFormat="false" ht="15.75" hidden="false" customHeight="true" outlineLevel="0" collapsed="false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</row>
    <row r="602" customFormat="false" ht="15.75" hidden="false" customHeight="true" outlineLevel="0" collapsed="false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</row>
    <row r="603" customFormat="false" ht="15.75" hidden="false" customHeight="true" outlineLevel="0" collapsed="false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</row>
    <row r="604" customFormat="false" ht="15.75" hidden="false" customHeight="true" outlineLevel="0" collapsed="false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</row>
    <row r="605" customFormat="false" ht="15.75" hidden="false" customHeight="true" outlineLevel="0" collapsed="false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</row>
    <row r="606" customFormat="false" ht="15.75" hidden="false" customHeight="true" outlineLevel="0" collapsed="false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</row>
    <row r="607" customFormat="false" ht="15.75" hidden="false" customHeight="true" outlineLevel="0" collapsed="false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</row>
    <row r="608" customFormat="false" ht="15.75" hidden="false" customHeight="true" outlineLevel="0" collapsed="false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</row>
    <row r="609" customFormat="false" ht="15.75" hidden="false" customHeight="true" outlineLevel="0" collapsed="false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</row>
    <row r="610" customFormat="false" ht="15.75" hidden="false" customHeight="true" outlineLevel="0" collapsed="false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</row>
    <row r="611" customFormat="false" ht="15.75" hidden="false" customHeight="true" outlineLevel="0" collapsed="false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</row>
    <row r="612" customFormat="false" ht="15.75" hidden="false" customHeight="true" outlineLevel="0" collapsed="false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</row>
    <row r="613" customFormat="false" ht="15.75" hidden="false" customHeight="true" outlineLevel="0" collapsed="false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</row>
    <row r="614" customFormat="false" ht="15.75" hidden="false" customHeight="true" outlineLevel="0" collapsed="false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</row>
    <row r="615" customFormat="false" ht="15.75" hidden="false" customHeight="true" outlineLevel="0" collapsed="false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</row>
    <row r="616" customFormat="false" ht="15.75" hidden="false" customHeight="true" outlineLevel="0" collapsed="false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</row>
    <row r="617" customFormat="false" ht="15.75" hidden="false" customHeight="true" outlineLevel="0" collapsed="false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</row>
    <row r="618" customFormat="false" ht="15.75" hidden="false" customHeight="true" outlineLevel="0" collapsed="false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</row>
    <row r="619" customFormat="false" ht="15.75" hidden="false" customHeight="true" outlineLevel="0" collapsed="false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</row>
    <row r="620" customFormat="false" ht="15.75" hidden="false" customHeight="true" outlineLevel="0" collapsed="false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</row>
    <row r="621" customFormat="false" ht="15.75" hidden="false" customHeight="true" outlineLevel="0" collapsed="false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</row>
    <row r="622" customFormat="false" ht="15.75" hidden="false" customHeight="true" outlineLevel="0" collapsed="false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</row>
    <row r="623" customFormat="false" ht="15.75" hidden="false" customHeight="true" outlineLevel="0" collapsed="false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</row>
    <row r="624" customFormat="false" ht="15.75" hidden="false" customHeight="true" outlineLevel="0" collapsed="false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</row>
    <row r="625" customFormat="false" ht="15.75" hidden="false" customHeight="true" outlineLevel="0" collapsed="false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</row>
    <row r="626" customFormat="false" ht="15.75" hidden="false" customHeight="true" outlineLevel="0" collapsed="false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</row>
    <row r="627" customFormat="false" ht="15.75" hidden="false" customHeight="true" outlineLevel="0" collapsed="false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</row>
    <row r="628" customFormat="false" ht="15.75" hidden="false" customHeight="true" outlineLevel="0" collapsed="false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</row>
    <row r="629" customFormat="false" ht="15.75" hidden="false" customHeight="true" outlineLevel="0" collapsed="false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</row>
    <row r="630" customFormat="false" ht="15.75" hidden="false" customHeight="true" outlineLevel="0" collapsed="false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</row>
    <row r="631" customFormat="false" ht="15.75" hidden="false" customHeight="true" outlineLevel="0" collapsed="false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</row>
    <row r="632" customFormat="false" ht="15.75" hidden="false" customHeight="true" outlineLevel="0" collapsed="false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</row>
    <row r="633" customFormat="false" ht="15.75" hidden="false" customHeight="true" outlineLevel="0" collapsed="false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</row>
    <row r="634" customFormat="false" ht="15.75" hidden="false" customHeight="true" outlineLevel="0" collapsed="false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</row>
    <row r="635" customFormat="false" ht="15.75" hidden="false" customHeight="true" outlineLevel="0" collapsed="false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</row>
    <row r="636" customFormat="false" ht="15.75" hidden="false" customHeight="true" outlineLevel="0" collapsed="false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</row>
    <row r="637" customFormat="false" ht="15.75" hidden="false" customHeight="true" outlineLevel="0" collapsed="false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</row>
    <row r="638" customFormat="false" ht="15.75" hidden="false" customHeight="true" outlineLevel="0" collapsed="false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</row>
    <row r="639" customFormat="false" ht="15.75" hidden="false" customHeight="true" outlineLevel="0" collapsed="false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</row>
    <row r="640" customFormat="false" ht="15.75" hidden="false" customHeight="true" outlineLevel="0" collapsed="false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</row>
    <row r="641" customFormat="false" ht="15.75" hidden="false" customHeight="true" outlineLevel="0" collapsed="false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</row>
    <row r="642" customFormat="false" ht="15.75" hidden="false" customHeight="true" outlineLevel="0" collapsed="false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</row>
    <row r="643" customFormat="false" ht="15.75" hidden="false" customHeight="true" outlineLevel="0" collapsed="false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</row>
    <row r="644" customFormat="false" ht="15.75" hidden="false" customHeight="true" outlineLevel="0" collapsed="false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</row>
    <row r="645" customFormat="false" ht="15.75" hidden="false" customHeight="true" outlineLevel="0" collapsed="false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customFormat="false" ht="15.75" hidden="false" customHeight="true" outlineLevel="0" collapsed="false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</row>
    <row r="647" customFormat="false" ht="15.75" hidden="false" customHeight="true" outlineLevel="0" collapsed="false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</row>
    <row r="648" customFormat="false" ht="15.75" hidden="false" customHeight="true" outlineLevel="0" collapsed="false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</row>
    <row r="649" customFormat="false" ht="15.75" hidden="false" customHeight="true" outlineLevel="0" collapsed="false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</row>
    <row r="650" customFormat="false" ht="15.75" hidden="false" customHeight="true" outlineLevel="0" collapsed="false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</row>
    <row r="651" customFormat="false" ht="15.75" hidden="false" customHeight="true" outlineLevel="0" collapsed="false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</row>
    <row r="652" customFormat="false" ht="15.75" hidden="false" customHeight="true" outlineLevel="0" collapsed="false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</row>
    <row r="653" customFormat="false" ht="15.75" hidden="false" customHeight="true" outlineLevel="0" collapsed="false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</row>
    <row r="654" customFormat="false" ht="15.75" hidden="false" customHeight="true" outlineLevel="0" collapsed="false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</row>
    <row r="655" customFormat="false" ht="15.75" hidden="false" customHeight="true" outlineLevel="0" collapsed="false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</row>
    <row r="656" customFormat="false" ht="15.75" hidden="false" customHeight="true" outlineLevel="0" collapsed="false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</row>
    <row r="657" customFormat="false" ht="15.75" hidden="false" customHeight="true" outlineLevel="0" collapsed="false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</row>
    <row r="658" customFormat="false" ht="15.75" hidden="false" customHeight="true" outlineLevel="0" collapsed="false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</row>
    <row r="659" customFormat="false" ht="15.75" hidden="false" customHeight="true" outlineLevel="0" collapsed="false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</row>
    <row r="660" customFormat="false" ht="15.75" hidden="false" customHeight="true" outlineLevel="0" collapsed="false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</row>
    <row r="661" customFormat="false" ht="15.75" hidden="false" customHeight="true" outlineLevel="0" collapsed="false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</row>
    <row r="662" customFormat="false" ht="15.75" hidden="false" customHeight="true" outlineLevel="0" collapsed="false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</row>
    <row r="663" customFormat="false" ht="15.75" hidden="false" customHeight="true" outlineLevel="0" collapsed="false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</row>
    <row r="664" customFormat="false" ht="15.75" hidden="false" customHeight="true" outlineLevel="0" collapsed="false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</row>
    <row r="665" customFormat="false" ht="15.75" hidden="false" customHeight="true" outlineLevel="0" collapsed="false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</row>
    <row r="666" customFormat="false" ht="15.75" hidden="false" customHeight="true" outlineLevel="0" collapsed="false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</row>
    <row r="667" customFormat="false" ht="15.75" hidden="false" customHeight="true" outlineLevel="0" collapsed="false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</row>
    <row r="668" customFormat="false" ht="15.75" hidden="false" customHeight="true" outlineLevel="0" collapsed="false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</row>
    <row r="669" customFormat="false" ht="15.75" hidden="false" customHeight="true" outlineLevel="0" collapsed="false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</row>
    <row r="670" customFormat="false" ht="15.75" hidden="false" customHeight="true" outlineLevel="0" collapsed="false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</row>
    <row r="671" customFormat="false" ht="15.75" hidden="false" customHeight="true" outlineLevel="0" collapsed="false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</row>
    <row r="672" customFormat="false" ht="15.75" hidden="false" customHeight="true" outlineLevel="0" collapsed="false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</row>
    <row r="673" customFormat="false" ht="15.75" hidden="false" customHeight="true" outlineLevel="0" collapsed="false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</row>
    <row r="674" customFormat="false" ht="15.75" hidden="false" customHeight="true" outlineLevel="0" collapsed="false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</row>
    <row r="675" customFormat="false" ht="15.75" hidden="false" customHeight="true" outlineLevel="0" collapsed="false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</row>
    <row r="676" customFormat="false" ht="15.75" hidden="false" customHeight="true" outlineLevel="0" collapsed="false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</row>
    <row r="677" customFormat="false" ht="15.75" hidden="false" customHeight="true" outlineLevel="0" collapsed="false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</row>
    <row r="678" customFormat="false" ht="15.75" hidden="false" customHeight="true" outlineLevel="0" collapsed="false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</row>
    <row r="679" customFormat="false" ht="15.75" hidden="false" customHeight="true" outlineLevel="0" collapsed="false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</row>
    <row r="680" customFormat="false" ht="15.75" hidden="false" customHeight="true" outlineLevel="0" collapsed="false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</row>
    <row r="681" customFormat="false" ht="15.75" hidden="false" customHeight="true" outlineLevel="0" collapsed="false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</row>
    <row r="682" customFormat="false" ht="15.75" hidden="false" customHeight="true" outlineLevel="0" collapsed="false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</row>
    <row r="683" customFormat="false" ht="15.75" hidden="false" customHeight="true" outlineLevel="0" collapsed="false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</row>
    <row r="684" customFormat="false" ht="15.75" hidden="false" customHeight="true" outlineLevel="0" collapsed="false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</row>
    <row r="685" customFormat="false" ht="15.75" hidden="false" customHeight="true" outlineLevel="0" collapsed="false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</row>
    <row r="686" customFormat="false" ht="15.75" hidden="false" customHeight="true" outlineLevel="0" collapsed="false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</row>
    <row r="687" customFormat="false" ht="15.75" hidden="false" customHeight="true" outlineLevel="0" collapsed="false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</row>
    <row r="688" customFormat="false" ht="15.75" hidden="false" customHeight="true" outlineLevel="0" collapsed="false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</row>
    <row r="689" customFormat="false" ht="15.75" hidden="false" customHeight="true" outlineLevel="0" collapsed="false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</row>
    <row r="690" customFormat="false" ht="15.75" hidden="false" customHeight="true" outlineLevel="0" collapsed="false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</row>
    <row r="691" customFormat="false" ht="15.75" hidden="false" customHeight="true" outlineLevel="0" collapsed="false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</row>
    <row r="692" customFormat="false" ht="15.75" hidden="false" customHeight="true" outlineLevel="0" collapsed="false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</row>
    <row r="693" customFormat="false" ht="15.75" hidden="false" customHeight="true" outlineLevel="0" collapsed="false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</row>
    <row r="694" customFormat="false" ht="15.75" hidden="false" customHeight="true" outlineLevel="0" collapsed="false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</row>
    <row r="695" customFormat="false" ht="15.75" hidden="false" customHeight="true" outlineLevel="0" collapsed="false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</row>
    <row r="696" customFormat="false" ht="15.75" hidden="false" customHeight="true" outlineLevel="0" collapsed="false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</row>
    <row r="697" customFormat="false" ht="15.75" hidden="false" customHeight="true" outlineLevel="0" collapsed="false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</row>
    <row r="698" customFormat="false" ht="15.75" hidden="false" customHeight="true" outlineLevel="0" collapsed="false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</row>
    <row r="699" customFormat="false" ht="15.75" hidden="false" customHeight="true" outlineLevel="0" collapsed="false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</row>
    <row r="700" customFormat="false" ht="15.75" hidden="false" customHeight="true" outlineLevel="0" collapsed="false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</row>
    <row r="701" customFormat="false" ht="15.75" hidden="false" customHeight="true" outlineLevel="0" collapsed="false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</row>
    <row r="702" customFormat="false" ht="15.75" hidden="false" customHeight="true" outlineLevel="0" collapsed="false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</row>
    <row r="703" customFormat="false" ht="15.75" hidden="false" customHeight="true" outlineLevel="0" collapsed="false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</row>
    <row r="704" customFormat="false" ht="15.75" hidden="false" customHeight="true" outlineLevel="0" collapsed="false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</row>
    <row r="705" customFormat="false" ht="15.75" hidden="false" customHeight="true" outlineLevel="0" collapsed="false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</row>
    <row r="706" customFormat="false" ht="15.75" hidden="false" customHeight="true" outlineLevel="0" collapsed="false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</row>
    <row r="707" customFormat="false" ht="15.75" hidden="false" customHeight="true" outlineLevel="0" collapsed="false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</row>
    <row r="708" customFormat="false" ht="15.75" hidden="false" customHeight="true" outlineLevel="0" collapsed="false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</row>
    <row r="709" customFormat="false" ht="15.75" hidden="false" customHeight="true" outlineLevel="0" collapsed="false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</row>
    <row r="710" customFormat="false" ht="15.75" hidden="false" customHeight="true" outlineLevel="0" collapsed="false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</row>
    <row r="711" customFormat="false" ht="15.75" hidden="false" customHeight="true" outlineLevel="0" collapsed="false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</row>
    <row r="712" customFormat="false" ht="15.75" hidden="false" customHeight="true" outlineLevel="0" collapsed="false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</row>
    <row r="713" customFormat="false" ht="15.75" hidden="false" customHeight="true" outlineLevel="0" collapsed="false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</row>
    <row r="714" customFormat="false" ht="15.75" hidden="false" customHeight="true" outlineLevel="0" collapsed="false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</row>
    <row r="715" customFormat="false" ht="15.75" hidden="false" customHeight="true" outlineLevel="0" collapsed="false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</row>
    <row r="716" customFormat="false" ht="15.75" hidden="false" customHeight="true" outlineLevel="0" collapsed="false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</row>
    <row r="717" customFormat="false" ht="15.75" hidden="false" customHeight="true" outlineLevel="0" collapsed="false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</row>
    <row r="718" customFormat="false" ht="15.75" hidden="false" customHeight="true" outlineLevel="0" collapsed="false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</row>
    <row r="719" customFormat="false" ht="15.75" hidden="false" customHeight="true" outlineLevel="0" collapsed="false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</row>
    <row r="720" customFormat="false" ht="15.75" hidden="false" customHeight="true" outlineLevel="0" collapsed="false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</row>
    <row r="721" customFormat="false" ht="15.75" hidden="false" customHeight="true" outlineLevel="0" collapsed="false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</row>
    <row r="722" customFormat="false" ht="15.75" hidden="false" customHeight="true" outlineLevel="0" collapsed="false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</row>
    <row r="723" customFormat="false" ht="15.75" hidden="false" customHeight="true" outlineLevel="0" collapsed="false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</row>
    <row r="724" customFormat="false" ht="15.75" hidden="false" customHeight="true" outlineLevel="0" collapsed="false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</row>
    <row r="725" customFormat="false" ht="15.75" hidden="false" customHeight="true" outlineLevel="0" collapsed="false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</row>
    <row r="726" customFormat="false" ht="15.75" hidden="false" customHeight="true" outlineLevel="0" collapsed="false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</row>
    <row r="727" customFormat="false" ht="15.75" hidden="false" customHeight="true" outlineLevel="0" collapsed="false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</row>
    <row r="728" customFormat="false" ht="15.75" hidden="false" customHeight="true" outlineLevel="0" collapsed="false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</row>
    <row r="729" customFormat="false" ht="15.75" hidden="false" customHeight="true" outlineLevel="0" collapsed="false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</row>
    <row r="730" customFormat="false" ht="15.75" hidden="false" customHeight="true" outlineLevel="0" collapsed="false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</row>
    <row r="731" customFormat="false" ht="15.75" hidden="false" customHeight="true" outlineLevel="0" collapsed="false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</row>
    <row r="732" customFormat="false" ht="15.75" hidden="false" customHeight="true" outlineLevel="0" collapsed="false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</row>
    <row r="733" customFormat="false" ht="15.75" hidden="false" customHeight="true" outlineLevel="0" collapsed="false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</row>
    <row r="734" customFormat="false" ht="15.75" hidden="false" customHeight="true" outlineLevel="0" collapsed="false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</row>
    <row r="735" customFormat="false" ht="15.75" hidden="false" customHeight="true" outlineLevel="0" collapsed="false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</row>
    <row r="736" customFormat="false" ht="15.75" hidden="false" customHeight="true" outlineLevel="0" collapsed="false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</row>
    <row r="737" customFormat="false" ht="15.75" hidden="false" customHeight="true" outlineLevel="0" collapsed="false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</row>
    <row r="738" customFormat="false" ht="15.75" hidden="false" customHeight="true" outlineLevel="0" collapsed="false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</row>
    <row r="739" customFormat="false" ht="15.75" hidden="false" customHeight="true" outlineLevel="0" collapsed="false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</row>
    <row r="740" customFormat="false" ht="15.75" hidden="false" customHeight="true" outlineLevel="0" collapsed="false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</row>
    <row r="741" customFormat="false" ht="15.75" hidden="false" customHeight="true" outlineLevel="0" collapsed="false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</row>
    <row r="742" customFormat="false" ht="15.75" hidden="false" customHeight="true" outlineLevel="0" collapsed="false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</row>
    <row r="743" customFormat="false" ht="15.75" hidden="false" customHeight="true" outlineLevel="0" collapsed="false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</row>
    <row r="744" customFormat="false" ht="15.75" hidden="false" customHeight="true" outlineLevel="0" collapsed="false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</row>
    <row r="745" customFormat="false" ht="15.75" hidden="false" customHeight="true" outlineLevel="0" collapsed="false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</row>
    <row r="746" customFormat="false" ht="15.75" hidden="false" customHeight="true" outlineLevel="0" collapsed="false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</row>
    <row r="747" customFormat="false" ht="15.75" hidden="false" customHeight="true" outlineLevel="0" collapsed="false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</row>
    <row r="748" customFormat="false" ht="15.75" hidden="false" customHeight="true" outlineLevel="0" collapsed="false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</row>
    <row r="749" customFormat="false" ht="15.75" hidden="false" customHeight="true" outlineLevel="0" collapsed="false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</row>
    <row r="750" customFormat="false" ht="15.75" hidden="false" customHeight="true" outlineLevel="0" collapsed="false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</row>
    <row r="751" customFormat="false" ht="15.75" hidden="false" customHeight="true" outlineLevel="0" collapsed="false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</row>
    <row r="752" customFormat="false" ht="15.75" hidden="false" customHeight="true" outlineLevel="0" collapsed="false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</row>
    <row r="753" customFormat="false" ht="15.75" hidden="false" customHeight="true" outlineLevel="0" collapsed="false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</row>
    <row r="754" customFormat="false" ht="15.75" hidden="false" customHeight="true" outlineLevel="0" collapsed="false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</row>
    <row r="755" customFormat="false" ht="15.75" hidden="false" customHeight="true" outlineLevel="0" collapsed="false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</row>
    <row r="756" customFormat="false" ht="15.75" hidden="false" customHeight="true" outlineLevel="0" collapsed="false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</row>
    <row r="757" customFormat="false" ht="15.75" hidden="false" customHeight="true" outlineLevel="0" collapsed="false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</row>
    <row r="758" customFormat="false" ht="15.75" hidden="false" customHeight="true" outlineLevel="0" collapsed="false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</row>
    <row r="759" customFormat="false" ht="15.75" hidden="false" customHeight="true" outlineLevel="0" collapsed="false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</row>
    <row r="760" customFormat="false" ht="15.75" hidden="false" customHeight="true" outlineLevel="0" collapsed="false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</row>
    <row r="761" customFormat="false" ht="15.75" hidden="false" customHeight="true" outlineLevel="0" collapsed="false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</row>
    <row r="762" customFormat="false" ht="15.75" hidden="false" customHeight="true" outlineLevel="0" collapsed="false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</row>
    <row r="763" customFormat="false" ht="15.75" hidden="false" customHeight="true" outlineLevel="0" collapsed="false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</row>
    <row r="764" customFormat="false" ht="15.75" hidden="false" customHeight="true" outlineLevel="0" collapsed="false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</row>
    <row r="765" customFormat="false" ht="15.75" hidden="false" customHeight="true" outlineLevel="0" collapsed="false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</row>
    <row r="766" customFormat="false" ht="15.75" hidden="false" customHeight="true" outlineLevel="0" collapsed="false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</row>
    <row r="767" customFormat="false" ht="15.75" hidden="false" customHeight="true" outlineLevel="0" collapsed="false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</row>
    <row r="768" customFormat="false" ht="15.75" hidden="false" customHeight="true" outlineLevel="0" collapsed="false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</row>
    <row r="769" customFormat="false" ht="15.75" hidden="false" customHeight="true" outlineLevel="0" collapsed="false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</row>
    <row r="770" customFormat="false" ht="15.75" hidden="false" customHeight="true" outlineLevel="0" collapsed="false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</row>
    <row r="771" customFormat="false" ht="15.75" hidden="false" customHeight="true" outlineLevel="0" collapsed="false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</row>
    <row r="772" customFormat="false" ht="15.75" hidden="false" customHeight="true" outlineLevel="0" collapsed="false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</row>
    <row r="773" customFormat="false" ht="15.75" hidden="false" customHeight="true" outlineLevel="0" collapsed="false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</row>
    <row r="774" customFormat="false" ht="15.75" hidden="false" customHeight="true" outlineLevel="0" collapsed="false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</row>
    <row r="775" customFormat="false" ht="15.75" hidden="false" customHeight="true" outlineLevel="0" collapsed="false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</row>
    <row r="776" customFormat="false" ht="15.75" hidden="false" customHeight="true" outlineLevel="0" collapsed="false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</row>
    <row r="777" customFormat="false" ht="15.75" hidden="false" customHeight="true" outlineLevel="0" collapsed="false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</row>
    <row r="778" customFormat="false" ht="15.75" hidden="false" customHeight="true" outlineLevel="0" collapsed="false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</row>
    <row r="779" customFormat="false" ht="15.75" hidden="false" customHeight="true" outlineLevel="0" collapsed="false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</row>
    <row r="780" customFormat="false" ht="15.75" hidden="false" customHeight="true" outlineLevel="0" collapsed="false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</row>
    <row r="781" customFormat="false" ht="15.75" hidden="false" customHeight="true" outlineLevel="0" collapsed="false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</row>
    <row r="782" customFormat="false" ht="15.75" hidden="false" customHeight="true" outlineLevel="0" collapsed="false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</row>
    <row r="783" customFormat="false" ht="15.75" hidden="false" customHeight="true" outlineLevel="0" collapsed="false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</row>
    <row r="784" customFormat="false" ht="15.75" hidden="false" customHeight="true" outlineLevel="0" collapsed="false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</row>
    <row r="785" customFormat="false" ht="15.75" hidden="false" customHeight="true" outlineLevel="0" collapsed="false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</row>
    <row r="786" customFormat="false" ht="15.75" hidden="false" customHeight="true" outlineLevel="0" collapsed="false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</row>
    <row r="787" customFormat="false" ht="15.75" hidden="false" customHeight="true" outlineLevel="0" collapsed="false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</row>
    <row r="788" customFormat="false" ht="15.75" hidden="false" customHeight="true" outlineLevel="0" collapsed="false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</row>
    <row r="789" customFormat="false" ht="15.75" hidden="false" customHeight="true" outlineLevel="0" collapsed="false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</row>
    <row r="790" customFormat="false" ht="15.75" hidden="false" customHeight="true" outlineLevel="0" collapsed="false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</row>
    <row r="791" customFormat="false" ht="15.75" hidden="false" customHeight="true" outlineLevel="0" collapsed="false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</row>
    <row r="792" customFormat="false" ht="15.75" hidden="false" customHeight="true" outlineLevel="0" collapsed="false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</row>
    <row r="793" customFormat="false" ht="15.75" hidden="false" customHeight="true" outlineLevel="0" collapsed="false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</row>
    <row r="794" customFormat="false" ht="15.75" hidden="false" customHeight="true" outlineLevel="0" collapsed="false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</row>
    <row r="795" customFormat="false" ht="15.75" hidden="false" customHeight="true" outlineLevel="0" collapsed="false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</row>
    <row r="796" customFormat="false" ht="15.75" hidden="false" customHeight="true" outlineLevel="0" collapsed="false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</row>
    <row r="797" customFormat="false" ht="15.75" hidden="false" customHeight="true" outlineLevel="0" collapsed="false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</row>
    <row r="798" customFormat="false" ht="15.75" hidden="false" customHeight="true" outlineLevel="0" collapsed="false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</row>
    <row r="799" customFormat="false" ht="15.75" hidden="false" customHeight="true" outlineLevel="0" collapsed="false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</row>
    <row r="800" customFormat="false" ht="15.75" hidden="false" customHeight="true" outlineLevel="0" collapsed="false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</row>
    <row r="801" customFormat="false" ht="15.75" hidden="false" customHeight="true" outlineLevel="0" collapsed="false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</row>
    <row r="802" customFormat="false" ht="15.75" hidden="false" customHeight="true" outlineLevel="0" collapsed="false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</row>
    <row r="803" customFormat="false" ht="15.75" hidden="false" customHeight="true" outlineLevel="0" collapsed="false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</row>
    <row r="804" customFormat="false" ht="15.75" hidden="false" customHeight="true" outlineLevel="0" collapsed="false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</row>
    <row r="805" customFormat="false" ht="15.75" hidden="false" customHeight="true" outlineLevel="0" collapsed="false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</row>
    <row r="806" customFormat="false" ht="15.75" hidden="false" customHeight="true" outlineLevel="0" collapsed="false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</row>
    <row r="807" customFormat="false" ht="15.75" hidden="false" customHeight="true" outlineLevel="0" collapsed="false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</row>
    <row r="808" customFormat="false" ht="15.75" hidden="false" customHeight="true" outlineLevel="0" collapsed="false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</row>
    <row r="809" customFormat="false" ht="15.75" hidden="false" customHeight="true" outlineLevel="0" collapsed="false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</row>
    <row r="810" customFormat="false" ht="15.75" hidden="false" customHeight="true" outlineLevel="0" collapsed="false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</row>
    <row r="811" customFormat="false" ht="15.75" hidden="false" customHeight="true" outlineLevel="0" collapsed="false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</row>
    <row r="812" customFormat="false" ht="15.75" hidden="false" customHeight="true" outlineLevel="0" collapsed="false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</row>
    <row r="813" customFormat="false" ht="15.75" hidden="false" customHeight="true" outlineLevel="0" collapsed="false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</row>
    <row r="814" customFormat="false" ht="15.75" hidden="false" customHeight="true" outlineLevel="0" collapsed="false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</row>
    <row r="815" customFormat="false" ht="15.75" hidden="false" customHeight="true" outlineLevel="0" collapsed="false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</row>
    <row r="816" customFormat="false" ht="15.75" hidden="false" customHeight="true" outlineLevel="0" collapsed="false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</row>
    <row r="817" customFormat="false" ht="15.75" hidden="false" customHeight="true" outlineLevel="0" collapsed="false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</row>
    <row r="818" customFormat="false" ht="15.75" hidden="false" customHeight="true" outlineLevel="0" collapsed="false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</row>
    <row r="819" customFormat="false" ht="15.75" hidden="false" customHeight="true" outlineLevel="0" collapsed="false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</row>
    <row r="820" customFormat="false" ht="15.75" hidden="false" customHeight="true" outlineLevel="0" collapsed="false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</row>
    <row r="821" customFormat="false" ht="15.75" hidden="false" customHeight="true" outlineLevel="0" collapsed="false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</row>
    <row r="822" customFormat="false" ht="15.75" hidden="false" customHeight="true" outlineLevel="0" collapsed="false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</row>
    <row r="823" customFormat="false" ht="15.75" hidden="false" customHeight="true" outlineLevel="0" collapsed="false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</row>
    <row r="824" customFormat="false" ht="15.75" hidden="false" customHeight="true" outlineLevel="0" collapsed="false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</row>
    <row r="825" customFormat="false" ht="15.75" hidden="false" customHeight="true" outlineLevel="0" collapsed="false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</row>
    <row r="826" customFormat="false" ht="15.75" hidden="false" customHeight="true" outlineLevel="0" collapsed="false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</row>
    <row r="827" customFormat="false" ht="15.75" hidden="false" customHeight="true" outlineLevel="0" collapsed="false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</row>
    <row r="828" customFormat="false" ht="15.75" hidden="false" customHeight="true" outlineLevel="0" collapsed="false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</row>
    <row r="829" customFormat="false" ht="15.75" hidden="false" customHeight="true" outlineLevel="0" collapsed="false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</row>
    <row r="830" customFormat="false" ht="15.75" hidden="false" customHeight="true" outlineLevel="0" collapsed="false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</row>
    <row r="831" customFormat="false" ht="15.75" hidden="false" customHeight="true" outlineLevel="0" collapsed="false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</row>
    <row r="832" customFormat="false" ht="15.75" hidden="false" customHeight="true" outlineLevel="0" collapsed="false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</row>
    <row r="833" customFormat="false" ht="15.75" hidden="false" customHeight="true" outlineLevel="0" collapsed="false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</row>
    <row r="834" customFormat="false" ht="15.75" hidden="false" customHeight="true" outlineLevel="0" collapsed="false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</row>
    <row r="835" customFormat="false" ht="15.75" hidden="false" customHeight="true" outlineLevel="0" collapsed="false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</row>
    <row r="836" customFormat="false" ht="15.75" hidden="false" customHeight="true" outlineLevel="0" collapsed="false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</row>
    <row r="837" customFormat="false" ht="15.75" hidden="false" customHeight="true" outlineLevel="0" collapsed="false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</row>
    <row r="838" customFormat="false" ht="15.75" hidden="false" customHeight="true" outlineLevel="0" collapsed="false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</row>
    <row r="839" customFormat="false" ht="15.75" hidden="false" customHeight="true" outlineLevel="0" collapsed="false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</row>
    <row r="840" customFormat="false" ht="15.75" hidden="false" customHeight="true" outlineLevel="0" collapsed="false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</row>
    <row r="841" customFormat="false" ht="15.75" hidden="false" customHeight="true" outlineLevel="0" collapsed="false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</row>
    <row r="842" customFormat="false" ht="15.75" hidden="false" customHeight="true" outlineLevel="0" collapsed="false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</row>
    <row r="843" customFormat="false" ht="15.75" hidden="false" customHeight="true" outlineLevel="0" collapsed="false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</row>
    <row r="844" customFormat="false" ht="15.75" hidden="false" customHeight="true" outlineLevel="0" collapsed="false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</row>
    <row r="845" customFormat="false" ht="15.75" hidden="false" customHeight="true" outlineLevel="0" collapsed="false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</row>
    <row r="846" customFormat="false" ht="15.75" hidden="false" customHeight="true" outlineLevel="0" collapsed="false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</row>
    <row r="847" customFormat="false" ht="15.75" hidden="false" customHeight="true" outlineLevel="0" collapsed="false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</row>
    <row r="848" customFormat="false" ht="15.75" hidden="false" customHeight="true" outlineLevel="0" collapsed="false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</row>
    <row r="849" customFormat="false" ht="15.75" hidden="false" customHeight="true" outlineLevel="0" collapsed="false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</row>
    <row r="850" customFormat="false" ht="15.75" hidden="false" customHeight="true" outlineLevel="0" collapsed="false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</row>
    <row r="851" customFormat="false" ht="15.75" hidden="false" customHeight="true" outlineLevel="0" collapsed="false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</row>
    <row r="852" customFormat="false" ht="15.75" hidden="false" customHeight="true" outlineLevel="0" collapsed="false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</row>
    <row r="853" customFormat="false" ht="15.75" hidden="false" customHeight="true" outlineLevel="0" collapsed="false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</row>
    <row r="854" customFormat="false" ht="15.75" hidden="false" customHeight="true" outlineLevel="0" collapsed="false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</row>
    <row r="855" customFormat="false" ht="15.75" hidden="false" customHeight="true" outlineLevel="0" collapsed="false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</row>
    <row r="856" customFormat="false" ht="15.75" hidden="false" customHeight="true" outlineLevel="0" collapsed="false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</row>
    <row r="857" customFormat="false" ht="15.75" hidden="false" customHeight="true" outlineLevel="0" collapsed="false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</row>
    <row r="858" customFormat="false" ht="15.75" hidden="false" customHeight="true" outlineLevel="0" collapsed="false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</row>
    <row r="859" customFormat="false" ht="15.75" hidden="false" customHeight="true" outlineLevel="0" collapsed="false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</row>
    <row r="860" customFormat="false" ht="15.75" hidden="false" customHeight="true" outlineLevel="0" collapsed="false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</row>
    <row r="861" customFormat="false" ht="15.75" hidden="false" customHeight="true" outlineLevel="0" collapsed="false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</row>
    <row r="862" customFormat="false" ht="15.75" hidden="false" customHeight="true" outlineLevel="0" collapsed="false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</row>
    <row r="863" customFormat="false" ht="15.75" hidden="false" customHeight="true" outlineLevel="0" collapsed="false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</row>
    <row r="864" customFormat="false" ht="15.75" hidden="false" customHeight="true" outlineLevel="0" collapsed="false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</row>
    <row r="865" customFormat="false" ht="15.75" hidden="false" customHeight="true" outlineLevel="0" collapsed="false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</row>
    <row r="866" customFormat="false" ht="15.75" hidden="false" customHeight="true" outlineLevel="0" collapsed="false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</row>
    <row r="867" customFormat="false" ht="15.75" hidden="false" customHeight="true" outlineLevel="0" collapsed="false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</row>
    <row r="868" customFormat="false" ht="15.75" hidden="false" customHeight="true" outlineLevel="0" collapsed="false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</row>
    <row r="869" customFormat="false" ht="15.75" hidden="false" customHeight="true" outlineLevel="0" collapsed="false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</row>
    <row r="870" customFormat="false" ht="15.75" hidden="false" customHeight="true" outlineLevel="0" collapsed="false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</row>
    <row r="871" customFormat="false" ht="15.75" hidden="false" customHeight="true" outlineLevel="0" collapsed="false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</row>
    <row r="872" customFormat="false" ht="15.75" hidden="false" customHeight="true" outlineLevel="0" collapsed="false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</row>
    <row r="873" customFormat="false" ht="15.75" hidden="false" customHeight="true" outlineLevel="0" collapsed="false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</row>
    <row r="874" customFormat="false" ht="15.75" hidden="false" customHeight="true" outlineLevel="0" collapsed="false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</row>
    <row r="875" customFormat="false" ht="15.75" hidden="false" customHeight="true" outlineLevel="0" collapsed="false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</row>
    <row r="876" customFormat="false" ht="15.75" hidden="false" customHeight="true" outlineLevel="0" collapsed="false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</row>
    <row r="877" customFormat="false" ht="15.75" hidden="false" customHeight="true" outlineLevel="0" collapsed="false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</row>
    <row r="878" customFormat="false" ht="15.75" hidden="false" customHeight="true" outlineLevel="0" collapsed="false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</row>
    <row r="879" customFormat="false" ht="15.75" hidden="false" customHeight="true" outlineLevel="0" collapsed="false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</row>
    <row r="880" customFormat="false" ht="15.75" hidden="false" customHeight="true" outlineLevel="0" collapsed="false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</row>
    <row r="881" customFormat="false" ht="15.75" hidden="false" customHeight="true" outlineLevel="0" collapsed="false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</row>
    <row r="882" customFormat="false" ht="15.75" hidden="false" customHeight="true" outlineLevel="0" collapsed="false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</row>
    <row r="883" customFormat="false" ht="15.75" hidden="false" customHeight="true" outlineLevel="0" collapsed="false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</row>
    <row r="884" customFormat="false" ht="15.75" hidden="false" customHeight="true" outlineLevel="0" collapsed="false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</row>
    <row r="885" customFormat="false" ht="15.75" hidden="false" customHeight="true" outlineLevel="0" collapsed="false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</row>
    <row r="886" customFormat="false" ht="15.75" hidden="false" customHeight="true" outlineLevel="0" collapsed="false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</row>
    <row r="887" customFormat="false" ht="15.75" hidden="false" customHeight="true" outlineLevel="0" collapsed="false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</row>
    <row r="888" customFormat="false" ht="15.75" hidden="false" customHeight="true" outlineLevel="0" collapsed="false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</row>
    <row r="889" customFormat="false" ht="15.75" hidden="false" customHeight="true" outlineLevel="0" collapsed="false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</row>
    <row r="890" customFormat="false" ht="15.75" hidden="false" customHeight="true" outlineLevel="0" collapsed="false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</row>
    <row r="891" customFormat="false" ht="15.75" hidden="false" customHeight="true" outlineLevel="0" collapsed="false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</row>
    <row r="892" customFormat="false" ht="15.75" hidden="false" customHeight="true" outlineLevel="0" collapsed="false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</row>
    <row r="893" customFormat="false" ht="15.75" hidden="false" customHeight="true" outlineLevel="0" collapsed="false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</row>
    <row r="894" customFormat="false" ht="15.75" hidden="false" customHeight="true" outlineLevel="0" collapsed="false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</row>
    <row r="895" customFormat="false" ht="15.75" hidden="false" customHeight="true" outlineLevel="0" collapsed="false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</row>
    <row r="896" customFormat="false" ht="15.75" hidden="false" customHeight="true" outlineLevel="0" collapsed="false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</row>
    <row r="897" customFormat="false" ht="15.75" hidden="false" customHeight="true" outlineLevel="0" collapsed="false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</row>
    <row r="898" customFormat="false" ht="15.75" hidden="false" customHeight="true" outlineLevel="0" collapsed="false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</row>
    <row r="899" customFormat="false" ht="15.75" hidden="false" customHeight="true" outlineLevel="0" collapsed="false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</row>
    <row r="900" customFormat="false" ht="15.75" hidden="false" customHeight="true" outlineLevel="0" collapsed="false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</row>
    <row r="901" customFormat="false" ht="15.75" hidden="false" customHeight="true" outlineLevel="0" collapsed="false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</row>
    <row r="902" customFormat="false" ht="15.75" hidden="false" customHeight="true" outlineLevel="0" collapsed="false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</row>
    <row r="903" customFormat="false" ht="15.75" hidden="false" customHeight="true" outlineLevel="0" collapsed="false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</row>
    <row r="904" customFormat="false" ht="15.75" hidden="false" customHeight="true" outlineLevel="0" collapsed="false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</row>
    <row r="905" customFormat="false" ht="15.75" hidden="false" customHeight="true" outlineLevel="0" collapsed="false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</row>
    <row r="906" customFormat="false" ht="15.75" hidden="false" customHeight="true" outlineLevel="0" collapsed="false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</row>
    <row r="907" customFormat="false" ht="15.75" hidden="false" customHeight="true" outlineLevel="0" collapsed="false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</row>
    <row r="908" customFormat="false" ht="15.75" hidden="false" customHeight="true" outlineLevel="0" collapsed="false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</row>
    <row r="909" customFormat="false" ht="15.75" hidden="false" customHeight="true" outlineLevel="0" collapsed="false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</row>
    <row r="910" customFormat="false" ht="15.75" hidden="false" customHeight="true" outlineLevel="0" collapsed="false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</row>
    <row r="911" customFormat="false" ht="15.75" hidden="false" customHeight="true" outlineLevel="0" collapsed="false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</row>
    <row r="912" customFormat="false" ht="15.75" hidden="false" customHeight="true" outlineLevel="0" collapsed="false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</row>
    <row r="913" customFormat="false" ht="15.75" hidden="false" customHeight="true" outlineLevel="0" collapsed="false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</row>
    <row r="914" customFormat="false" ht="15.75" hidden="false" customHeight="true" outlineLevel="0" collapsed="false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</row>
    <row r="915" customFormat="false" ht="15.75" hidden="false" customHeight="true" outlineLevel="0" collapsed="false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</row>
    <row r="916" customFormat="false" ht="15.75" hidden="false" customHeight="true" outlineLevel="0" collapsed="false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</row>
    <row r="917" customFormat="false" ht="15.75" hidden="false" customHeight="true" outlineLevel="0" collapsed="false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</row>
    <row r="918" customFormat="false" ht="15.75" hidden="false" customHeight="true" outlineLevel="0" collapsed="false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</row>
    <row r="919" customFormat="false" ht="15.75" hidden="false" customHeight="true" outlineLevel="0" collapsed="false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</row>
    <row r="920" customFormat="false" ht="15.75" hidden="false" customHeight="true" outlineLevel="0" collapsed="false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</row>
    <row r="921" customFormat="false" ht="15.75" hidden="false" customHeight="true" outlineLevel="0" collapsed="false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</row>
    <row r="922" customFormat="false" ht="15.75" hidden="false" customHeight="true" outlineLevel="0" collapsed="false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</row>
    <row r="923" customFormat="false" ht="15.75" hidden="false" customHeight="true" outlineLevel="0" collapsed="false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</row>
    <row r="924" customFormat="false" ht="15.75" hidden="false" customHeight="true" outlineLevel="0" collapsed="false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</row>
    <row r="925" customFormat="false" ht="15.75" hidden="false" customHeight="true" outlineLevel="0" collapsed="false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</row>
    <row r="926" customFormat="false" ht="15.75" hidden="false" customHeight="true" outlineLevel="0" collapsed="false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</row>
    <row r="927" customFormat="false" ht="15.75" hidden="false" customHeight="true" outlineLevel="0" collapsed="false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</row>
    <row r="928" customFormat="false" ht="15.75" hidden="false" customHeight="true" outlineLevel="0" collapsed="false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</row>
    <row r="929" customFormat="false" ht="15.75" hidden="false" customHeight="true" outlineLevel="0" collapsed="false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</row>
    <row r="930" customFormat="false" ht="15.75" hidden="false" customHeight="true" outlineLevel="0" collapsed="false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</row>
    <row r="931" customFormat="false" ht="15.75" hidden="false" customHeight="true" outlineLevel="0" collapsed="false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</row>
    <row r="932" customFormat="false" ht="15.75" hidden="false" customHeight="true" outlineLevel="0" collapsed="false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</row>
    <row r="933" customFormat="false" ht="15.75" hidden="false" customHeight="true" outlineLevel="0" collapsed="false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</row>
    <row r="934" customFormat="false" ht="15.75" hidden="false" customHeight="true" outlineLevel="0" collapsed="false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</row>
    <row r="935" customFormat="false" ht="15.75" hidden="false" customHeight="true" outlineLevel="0" collapsed="false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</row>
    <row r="936" customFormat="false" ht="15.75" hidden="false" customHeight="true" outlineLevel="0" collapsed="false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</row>
    <row r="937" customFormat="false" ht="15.75" hidden="false" customHeight="true" outlineLevel="0" collapsed="false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</row>
    <row r="938" customFormat="false" ht="15.75" hidden="false" customHeight="true" outlineLevel="0" collapsed="false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</row>
    <row r="939" customFormat="false" ht="15.75" hidden="false" customHeight="true" outlineLevel="0" collapsed="false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</row>
    <row r="940" customFormat="false" ht="15.75" hidden="false" customHeight="true" outlineLevel="0" collapsed="false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</row>
    <row r="941" customFormat="false" ht="15.75" hidden="false" customHeight="true" outlineLevel="0" collapsed="false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</row>
    <row r="942" customFormat="false" ht="15.75" hidden="false" customHeight="true" outlineLevel="0" collapsed="false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</row>
    <row r="943" customFormat="false" ht="15.75" hidden="false" customHeight="true" outlineLevel="0" collapsed="false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</row>
    <row r="944" customFormat="false" ht="15.75" hidden="false" customHeight="true" outlineLevel="0" collapsed="false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</row>
    <row r="945" customFormat="false" ht="15.75" hidden="false" customHeight="true" outlineLevel="0" collapsed="false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</row>
    <row r="946" customFormat="false" ht="15.75" hidden="false" customHeight="true" outlineLevel="0" collapsed="false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</row>
    <row r="947" customFormat="false" ht="15.75" hidden="false" customHeight="true" outlineLevel="0" collapsed="false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</row>
    <row r="948" customFormat="false" ht="15.75" hidden="false" customHeight="true" outlineLevel="0" collapsed="false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</row>
    <row r="949" customFormat="false" ht="15.75" hidden="false" customHeight="true" outlineLevel="0" collapsed="false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</row>
    <row r="950" customFormat="false" ht="15.75" hidden="false" customHeight="true" outlineLevel="0" collapsed="false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</row>
    <row r="951" customFormat="false" ht="15.75" hidden="false" customHeight="true" outlineLevel="0" collapsed="false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</row>
    <row r="952" customFormat="false" ht="15.75" hidden="false" customHeight="true" outlineLevel="0" collapsed="false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</row>
    <row r="953" customFormat="false" ht="15.75" hidden="false" customHeight="true" outlineLevel="0" collapsed="false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</row>
    <row r="954" customFormat="false" ht="15.75" hidden="false" customHeight="true" outlineLevel="0" collapsed="false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</row>
    <row r="955" customFormat="false" ht="15.75" hidden="false" customHeight="true" outlineLevel="0" collapsed="false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</row>
    <row r="956" customFormat="false" ht="15.75" hidden="false" customHeight="true" outlineLevel="0" collapsed="false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</row>
    <row r="957" customFormat="false" ht="15.75" hidden="false" customHeight="true" outlineLevel="0" collapsed="false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</row>
    <row r="958" customFormat="false" ht="15.75" hidden="false" customHeight="true" outlineLevel="0" collapsed="false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</row>
    <row r="959" customFormat="false" ht="15.75" hidden="false" customHeight="true" outlineLevel="0" collapsed="false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</row>
    <row r="960" customFormat="false" ht="15.75" hidden="false" customHeight="true" outlineLevel="0" collapsed="false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</row>
    <row r="961" customFormat="false" ht="15.75" hidden="false" customHeight="true" outlineLevel="0" collapsed="false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</row>
    <row r="962" customFormat="false" ht="15.75" hidden="false" customHeight="true" outlineLevel="0" collapsed="false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</row>
    <row r="963" customFormat="false" ht="15.75" hidden="false" customHeight="true" outlineLevel="0" collapsed="false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</row>
    <row r="964" customFormat="false" ht="15.75" hidden="false" customHeight="true" outlineLevel="0" collapsed="false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</row>
    <row r="965" customFormat="false" ht="15.75" hidden="false" customHeight="true" outlineLevel="0" collapsed="false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</row>
    <row r="966" customFormat="false" ht="15.75" hidden="false" customHeight="true" outlineLevel="0" collapsed="false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</row>
    <row r="967" customFormat="false" ht="15.75" hidden="false" customHeight="true" outlineLevel="0" collapsed="false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</row>
    <row r="968" customFormat="false" ht="15.75" hidden="false" customHeight="true" outlineLevel="0" collapsed="false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</row>
    <row r="969" customFormat="false" ht="15.75" hidden="false" customHeight="true" outlineLevel="0" collapsed="false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</row>
    <row r="970" customFormat="false" ht="15.75" hidden="false" customHeight="true" outlineLevel="0" collapsed="false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</row>
    <row r="971" customFormat="false" ht="15.75" hidden="false" customHeight="true" outlineLevel="0" collapsed="false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</row>
    <row r="972" customFormat="false" ht="15.75" hidden="false" customHeight="true" outlineLevel="0" collapsed="false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</row>
    <row r="973" customFormat="false" ht="15.75" hidden="false" customHeight="true" outlineLevel="0" collapsed="false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</row>
    <row r="974" customFormat="false" ht="15.75" hidden="false" customHeight="true" outlineLevel="0" collapsed="false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</row>
    <row r="975" customFormat="false" ht="15.75" hidden="false" customHeight="true" outlineLevel="0" collapsed="false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</row>
    <row r="976" customFormat="false" ht="15.75" hidden="false" customHeight="true" outlineLevel="0" collapsed="false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</row>
    <row r="977" customFormat="false" ht="15.75" hidden="false" customHeight="true" outlineLevel="0" collapsed="false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</row>
    <row r="978" customFormat="false" ht="15.75" hidden="false" customHeight="true" outlineLevel="0" collapsed="false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</row>
    <row r="979" customFormat="false" ht="15.75" hidden="false" customHeight="true" outlineLevel="0" collapsed="false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</row>
    <row r="980" customFormat="false" ht="15.75" hidden="false" customHeight="true" outlineLevel="0" collapsed="false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</row>
    <row r="981" customFormat="false" ht="15.75" hidden="false" customHeight="true" outlineLevel="0" collapsed="false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</row>
    <row r="982" customFormat="false" ht="15.75" hidden="false" customHeight="true" outlineLevel="0" collapsed="false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</row>
    <row r="983" customFormat="false" ht="15.75" hidden="false" customHeight="true" outlineLevel="0" collapsed="false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</row>
    <row r="984" customFormat="false" ht="15.75" hidden="false" customHeight="true" outlineLevel="0" collapsed="false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</row>
    <row r="985" customFormat="false" ht="15.75" hidden="false" customHeight="true" outlineLevel="0" collapsed="false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</row>
    <row r="986" customFormat="false" ht="15.75" hidden="false" customHeight="true" outlineLevel="0" collapsed="false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</row>
    <row r="987" customFormat="false" ht="15.75" hidden="false" customHeight="true" outlineLevel="0" collapsed="false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</row>
    <row r="988" customFormat="false" ht="15.75" hidden="false" customHeight="true" outlineLevel="0" collapsed="false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</row>
    <row r="989" customFormat="false" ht="15.75" hidden="false" customHeight="true" outlineLevel="0" collapsed="false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</row>
    <row r="990" customFormat="false" ht="15.75" hidden="false" customHeight="true" outlineLevel="0" collapsed="false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</row>
    <row r="991" customFormat="false" ht="15.75" hidden="false" customHeight="true" outlineLevel="0" collapsed="false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</row>
    <row r="992" customFormat="false" ht="15.75" hidden="false" customHeight="true" outlineLevel="0" collapsed="false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</row>
    <row r="993" customFormat="false" ht="15.75" hidden="false" customHeight="true" outlineLevel="0" collapsed="false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</row>
    <row r="994" customFormat="false" ht="15.75" hidden="false" customHeight="true" outlineLevel="0" collapsed="false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</row>
    <row r="995" customFormat="false" ht="15.75" hidden="false" customHeight="true" outlineLevel="0" collapsed="false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</row>
    <row r="996" customFormat="false" ht="15.75" hidden="false" customHeight="true" outlineLevel="0" collapsed="false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</row>
    <row r="997" customFormat="false" ht="15.75" hidden="false" customHeight="true" outlineLevel="0" collapsed="false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</row>
    <row r="998" customFormat="false" ht="15.75" hidden="false" customHeight="true" outlineLevel="0" collapsed="false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</row>
    <row r="999" customFormat="false" ht="15.75" hidden="false" customHeight="true" outlineLevel="0" collapsed="false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</row>
    <row r="1000" customFormat="false" ht="15.75" hidden="false" customHeight="true" outlineLevel="0" collapsed="false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</row>
  </sheetData>
  <mergeCells count="74">
    <mergeCell ref="D3:F3"/>
    <mergeCell ref="D5:F5"/>
    <mergeCell ref="D6:F6"/>
    <mergeCell ref="D7:F7"/>
    <mergeCell ref="D8:F8"/>
    <mergeCell ref="D9:F9"/>
    <mergeCell ref="D13:F13"/>
    <mergeCell ref="C14:D14"/>
    <mergeCell ref="C15:D15"/>
    <mergeCell ref="C17:F17"/>
    <mergeCell ref="D18:E18"/>
    <mergeCell ref="F18:F19"/>
    <mergeCell ref="C21:F21"/>
    <mergeCell ref="C23:F23"/>
    <mergeCell ref="C25:F25"/>
    <mergeCell ref="C27:F27"/>
    <mergeCell ref="C30:F30"/>
    <mergeCell ref="C32:F32"/>
    <mergeCell ref="C35:F35"/>
    <mergeCell ref="C37:F37"/>
    <mergeCell ref="C39:F39"/>
    <mergeCell ref="C41:F41"/>
    <mergeCell ref="C44:F44"/>
    <mergeCell ref="C46:F46"/>
    <mergeCell ref="C48:F48"/>
    <mergeCell ref="C50:F50"/>
    <mergeCell ref="C52:F52"/>
    <mergeCell ref="C55:F55"/>
    <mergeCell ref="C57:F57"/>
    <mergeCell ref="C59:F59"/>
    <mergeCell ref="C63:F63"/>
    <mergeCell ref="D64:E64"/>
    <mergeCell ref="F64:F65"/>
    <mergeCell ref="C67:F67"/>
    <mergeCell ref="C69:F69"/>
    <mergeCell ref="C71:F71"/>
    <mergeCell ref="C73:F73"/>
    <mergeCell ref="C76:F76"/>
    <mergeCell ref="C78:F78"/>
    <mergeCell ref="C81:F81"/>
    <mergeCell ref="C83:F83"/>
    <mergeCell ref="C85:F85"/>
    <mergeCell ref="C87:F87"/>
    <mergeCell ref="C90:F90"/>
    <mergeCell ref="C92:F92"/>
    <mergeCell ref="C94:F94"/>
    <mergeCell ref="C96:F96"/>
    <mergeCell ref="C98:F98"/>
    <mergeCell ref="C101:F101"/>
    <mergeCell ref="C103:F103"/>
    <mergeCell ref="C105:F105"/>
    <mergeCell ref="C109:F109"/>
    <mergeCell ref="D110:E110"/>
    <mergeCell ref="F110:F111"/>
    <mergeCell ref="C113:F113"/>
    <mergeCell ref="C115:F115"/>
    <mergeCell ref="C117:F117"/>
    <mergeCell ref="C119:F119"/>
    <mergeCell ref="C122:F122"/>
    <mergeCell ref="C124:F124"/>
    <mergeCell ref="C127:F127"/>
    <mergeCell ref="C129:F129"/>
    <mergeCell ref="C131:F131"/>
    <mergeCell ref="C133:F133"/>
    <mergeCell ref="C136:F136"/>
    <mergeCell ref="C138:F138"/>
    <mergeCell ref="C140:F140"/>
    <mergeCell ref="C142:F142"/>
    <mergeCell ref="C144:F144"/>
    <mergeCell ref="C147:F147"/>
    <mergeCell ref="C149:F149"/>
    <mergeCell ref="C151:F151"/>
    <mergeCell ref="C155:F155"/>
    <mergeCell ref="C162:F16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4" manualBreakCount="4">
    <brk id="16" man="true" max="16383" min="0"/>
    <brk id="62" man="true" max="16383" min="0"/>
    <brk id="107" man="true" max="16383" min="0"/>
    <brk id="152" man="true" max="16383" min="0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  <dc:description/>
  <dc:language>en-US</dc:language>
  <cp:lastModifiedBy/>
  <dcterms:modified xsi:type="dcterms:W3CDTF">2026-09-09T14:05:54Z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